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BuÇalışmaKitabı"/>
  <bookViews>
    <workbookView xWindow="240" yWindow="120" windowWidth="14805" windowHeight="8010" tabRatio="913" firstSheet="1" activeTab="11"/>
  </bookViews>
  <sheets>
    <sheet name="GRAFIK" sheetId="32" state="hidden" r:id="rId1"/>
    <sheet name="Anasayfa" sheetId="67" r:id="rId2"/>
    <sheet name="Hisse Senedi Bilgileri1" sheetId="71" state="hidden" r:id="rId3"/>
    <sheet name="Hisse Senedi Bilgileri" sheetId="72" r:id="rId4"/>
    <sheet name="Kişisel Bilgiler" sheetId="68" r:id="rId5"/>
    <sheet name="Altın" sheetId="69" r:id="rId6"/>
    <sheet name="AKSA" sheetId="50" r:id="rId7"/>
    <sheet name="ALKIM" sheetId="55" r:id="rId8"/>
    <sheet name="EREĞLİ" sheetId="54" r:id="rId9"/>
    <sheet name="ISDMR" sheetId="53" r:id="rId10"/>
    <sheet name="SASA" sheetId="51" r:id="rId11"/>
    <sheet name="TTRAK" sheetId="65" r:id="rId12"/>
    <sheet name="VESBE" sheetId="64" r:id="rId13"/>
    <sheet name="Hisse8" sheetId="63" r:id="rId14"/>
    <sheet name="Hisse9" sheetId="62" r:id="rId15"/>
    <sheet name="Hisse10" sheetId="61" r:id="rId16"/>
    <sheet name="Hisse11" sheetId="60" r:id="rId17"/>
    <sheet name="Hisse12" sheetId="59" r:id="rId18"/>
    <sheet name="Hisse13" sheetId="58" r:id="rId19"/>
    <sheet name="Hisse14" sheetId="57" r:id="rId20"/>
    <sheet name="Hisse15" sheetId="56" r:id="rId21"/>
    <sheet name="Hisse İsimleri" sheetId="48" r:id="rId22"/>
    <sheet name="Anlık Veri" sheetId="33" r:id="rId23"/>
  </sheets>
  <definedNames>
    <definedName name="hisseler" localSheetId="22">'Anlık Veri'!$A$1:$F$711</definedName>
    <definedName name="LOT" localSheetId="7">OFFSET(GRAFIK!XEY1,0,0,COUNTA(#REF!),1)</definedName>
    <definedName name="LOT" localSheetId="5">OFFSET(GRAFIK!XEY1,0,0,COUNTA(#REF!),1)</definedName>
    <definedName name="LOT" localSheetId="8">OFFSET(GRAFIK!XEY1,0,0,COUNTA(#REF!),1)</definedName>
    <definedName name="LOT" localSheetId="15">OFFSET(GRAFIK!XEY1,0,0,COUNTA(#REF!),1)</definedName>
    <definedName name="LOT" localSheetId="16">OFFSET(GRAFIK!XEY1,0,0,COUNTA(#REF!),1)</definedName>
    <definedName name="LOT" localSheetId="17">OFFSET(GRAFIK!XEY1,0,0,COUNTA(#REF!),1)</definedName>
    <definedName name="LOT" localSheetId="18">OFFSET(GRAFIK!XEY1,0,0,COUNTA(#REF!),1)</definedName>
    <definedName name="LOT" localSheetId="19">OFFSET(GRAFIK!XEY1,0,0,COUNTA(#REF!),1)</definedName>
    <definedName name="LOT" localSheetId="20">OFFSET(GRAFIK!XEY1,0,0,COUNTA(#REF!),1)</definedName>
    <definedName name="LOT" localSheetId="13">OFFSET(GRAFIK!XEY1,0,0,COUNTA(#REF!),1)</definedName>
    <definedName name="LOT" localSheetId="14">OFFSET(GRAFIK!XEY1,0,0,COUNTA(#REF!),1)</definedName>
    <definedName name="LOT" localSheetId="9">OFFSET(GRAFIK!XEY1,0,0,COUNTA(#REF!),1)</definedName>
    <definedName name="LOT" localSheetId="10">OFFSET(GRAFIK!XEY1,0,0,COUNTA(#REF!),1)</definedName>
    <definedName name="LOT" localSheetId="11">OFFSET(GRAFIK!XEY1,0,0,COUNTA(#REF!),1)</definedName>
    <definedName name="LOT" localSheetId="12">OFFSET(GRAFIK!XEY1,0,0,COUNTA(#REF!),1)</definedName>
    <definedName name="LOT">OFFSET(GRAFIK!XEY1,0,0,COUNTA(#REF!),1)</definedName>
  </definedNames>
  <calcPr calcId="152511"/>
</workbook>
</file>

<file path=xl/calcChain.xml><?xml version="1.0" encoding="utf-8"?>
<calcChain xmlns="http://schemas.openxmlformats.org/spreadsheetml/2006/main">
  <c r="H32" i="65" l="1"/>
  <c r="F4" i="68" l="1"/>
  <c r="H32" i="64"/>
  <c r="H31" i="65"/>
  <c r="H31" i="51"/>
  <c r="H31" i="53"/>
  <c r="H31" i="55"/>
  <c r="H31" i="50"/>
  <c r="E15" i="68" l="1"/>
  <c r="F3" i="68"/>
  <c r="E8" i="68"/>
  <c r="E9" i="68"/>
  <c r="E10" i="68"/>
  <c r="E11" i="68"/>
  <c r="E12" i="68"/>
  <c r="E13" i="68"/>
  <c r="E14" i="68"/>
  <c r="E7" i="68"/>
  <c r="E6" i="68"/>
  <c r="B130" i="72" l="1"/>
  <c r="H17" i="72"/>
  <c r="G17" i="72"/>
  <c r="F17" i="72"/>
  <c r="D17" i="72"/>
  <c r="C17" i="72"/>
  <c r="E17" i="72" s="1"/>
  <c r="B17" i="72"/>
  <c r="H16" i="72"/>
  <c r="G16" i="72"/>
  <c r="F16" i="72"/>
  <c r="D16" i="72"/>
  <c r="C16" i="72"/>
  <c r="B16" i="72"/>
  <c r="H15" i="72"/>
  <c r="G15" i="72"/>
  <c r="F15" i="72"/>
  <c r="D15" i="72"/>
  <c r="E15" i="72" s="1"/>
  <c r="C15" i="72"/>
  <c r="B15" i="72"/>
  <c r="H14" i="72"/>
  <c r="G14" i="72"/>
  <c r="F14" i="72"/>
  <c r="D14" i="72"/>
  <c r="C14" i="72"/>
  <c r="E14" i="72" s="1"/>
  <c r="B14" i="72"/>
  <c r="H13" i="72"/>
  <c r="G13" i="72"/>
  <c r="F13" i="72"/>
  <c r="D13" i="72"/>
  <c r="C13" i="72"/>
  <c r="B13" i="72"/>
  <c r="H12" i="72"/>
  <c r="G12" i="72"/>
  <c r="F12" i="72"/>
  <c r="D12" i="72"/>
  <c r="C12" i="72"/>
  <c r="B12" i="72"/>
  <c r="H11" i="72"/>
  <c r="G11" i="72"/>
  <c r="F11" i="72"/>
  <c r="D11" i="72"/>
  <c r="C11" i="72"/>
  <c r="B11" i="72"/>
  <c r="H10" i="72"/>
  <c r="G10" i="72"/>
  <c r="F10" i="72"/>
  <c r="D10" i="72"/>
  <c r="C10" i="72"/>
  <c r="E10" i="72" s="1"/>
  <c r="B10" i="72"/>
  <c r="F9" i="72"/>
  <c r="D9" i="72"/>
  <c r="B9" i="72"/>
  <c r="D8" i="72"/>
  <c r="B8" i="72"/>
  <c r="F7" i="72"/>
  <c r="D7" i="72"/>
  <c r="B7" i="72"/>
  <c r="F6" i="72"/>
  <c r="D6" i="72"/>
  <c r="B6" i="72"/>
  <c r="F5" i="72"/>
  <c r="D5" i="72"/>
  <c r="B5" i="72"/>
  <c r="F4" i="72"/>
  <c r="D4" i="72"/>
  <c r="B4" i="72"/>
  <c r="F3" i="72"/>
  <c r="D3" i="72"/>
  <c r="B3" i="72"/>
  <c r="E12" i="72" l="1"/>
  <c r="E11" i="72"/>
  <c r="E16" i="72"/>
  <c r="E13" i="72"/>
  <c r="H31" i="64"/>
  <c r="H30" i="64" l="1"/>
  <c r="H28" i="64"/>
  <c r="H26" i="64"/>
  <c r="H24" i="64"/>
  <c r="H22" i="64"/>
  <c r="H29" i="64"/>
  <c r="H27" i="64"/>
  <c r="H25" i="64"/>
  <c r="H23" i="64"/>
  <c r="H21" i="64"/>
  <c r="H30" i="65"/>
  <c r="H28" i="65"/>
  <c r="H26" i="65"/>
  <c r="H24" i="65"/>
  <c r="H22" i="65"/>
  <c r="H29" i="65"/>
  <c r="H27" i="65"/>
  <c r="H25" i="65"/>
  <c r="H23" i="65"/>
  <c r="H21" i="65"/>
  <c r="H30" i="51"/>
  <c r="H28" i="51"/>
  <c r="H26" i="51"/>
  <c r="H24" i="51"/>
  <c r="H22" i="51"/>
  <c r="H29" i="51"/>
  <c r="H27" i="51"/>
  <c r="H25" i="51"/>
  <c r="H23" i="51"/>
  <c r="H21" i="51"/>
  <c r="H29" i="50"/>
  <c r="H27" i="50"/>
  <c r="H25" i="50"/>
  <c r="H23" i="50"/>
  <c r="H21" i="50"/>
  <c r="H29" i="55"/>
  <c r="H27" i="55"/>
  <c r="H25" i="55"/>
  <c r="H23" i="55"/>
  <c r="H21" i="55"/>
  <c r="H29" i="54"/>
  <c r="H27" i="54"/>
  <c r="H25" i="54"/>
  <c r="H23" i="54"/>
  <c r="H21" i="54"/>
  <c r="H29" i="53"/>
  <c r="H27" i="53"/>
  <c r="H25" i="53"/>
  <c r="H23" i="53"/>
  <c r="H21" i="53"/>
  <c r="H22" i="53"/>
  <c r="H30" i="53"/>
  <c r="H28" i="53"/>
  <c r="H26" i="53"/>
  <c r="H24" i="53"/>
  <c r="F15" i="68"/>
  <c r="H31" i="54"/>
  <c r="H22" i="54" l="1"/>
  <c r="H24" i="54"/>
  <c r="H26" i="54"/>
  <c r="H28" i="54"/>
  <c r="H30" i="54"/>
  <c r="H22" i="55"/>
  <c r="H24" i="55"/>
  <c r="H26" i="55"/>
  <c r="H28" i="55"/>
  <c r="H30" i="55"/>
  <c r="H24" i="50"/>
  <c r="H26" i="50"/>
  <c r="H28" i="50"/>
  <c r="H30" i="50"/>
  <c r="H22" i="50"/>
  <c r="G15" i="68" l="1"/>
  <c r="H15" i="68"/>
  <c r="I15" i="68"/>
  <c r="J15" i="68"/>
  <c r="K15" i="68"/>
  <c r="L15" i="68"/>
  <c r="M15" i="68"/>
  <c r="N15" i="68"/>
  <c r="O15" i="68"/>
  <c r="B226" i="67" l="1"/>
  <c r="J2" i="67" s="1"/>
  <c r="H17" i="71" l="1"/>
  <c r="H16" i="71"/>
  <c r="H15" i="71"/>
  <c r="H14" i="71"/>
  <c r="H13" i="71"/>
  <c r="H12" i="71"/>
  <c r="H11" i="71"/>
  <c r="H10" i="71"/>
  <c r="N2" i="67"/>
  <c r="A3" i="67" s="1"/>
  <c r="I3" i="67" l="1"/>
  <c r="F15" i="71"/>
  <c r="F14" i="71"/>
  <c r="F17" i="71"/>
  <c r="F16" i="71"/>
  <c r="F13" i="71"/>
  <c r="F12" i="71"/>
  <c r="F11" i="71"/>
  <c r="F10" i="71"/>
  <c r="F6" i="71"/>
  <c r="F5" i="71"/>
  <c r="F3" i="71"/>
  <c r="D17" i="71"/>
  <c r="D16" i="71"/>
  <c r="D15" i="71"/>
  <c r="D14" i="71"/>
  <c r="D13" i="71"/>
  <c r="D12" i="71"/>
  <c r="D11" i="71"/>
  <c r="D10" i="71"/>
  <c r="D9" i="71"/>
  <c r="D8" i="71"/>
  <c r="D7" i="71"/>
  <c r="D6" i="71"/>
  <c r="D5" i="71"/>
  <c r="D4" i="71"/>
  <c r="D3" i="71"/>
  <c r="B257" i="69"/>
  <c r="D257" i="69" s="1"/>
  <c r="E257" i="69" s="1"/>
  <c r="F8" i="69" s="1"/>
  <c r="P15" i="67" l="1"/>
  <c r="A2" i="67" l="1"/>
  <c r="W20" i="69"/>
  <c r="W21" i="69"/>
  <c r="W22" i="69"/>
  <c r="W23" i="69"/>
  <c r="W24" i="69"/>
  <c r="W25" i="69"/>
  <c r="W26" i="69"/>
  <c r="W27" i="69"/>
  <c r="W28" i="69"/>
  <c r="W29" i="69"/>
  <c r="W30" i="69"/>
  <c r="W31" i="69"/>
  <c r="W32" i="69"/>
  <c r="W33" i="69"/>
  <c r="W34" i="69"/>
  <c r="W35" i="69"/>
  <c r="W36" i="69"/>
  <c r="W37" i="69"/>
  <c r="W38" i="69"/>
  <c r="W39" i="69"/>
  <c r="W40" i="69"/>
  <c r="W41" i="69"/>
  <c r="W42" i="69"/>
  <c r="W43" i="69"/>
  <c r="W44" i="69"/>
  <c r="W45" i="69"/>
  <c r="W46" i="69"/>
  <c r="W47" i="69"/>
  <c r="W48" i="69"/>
  <c r="W49" i="69"/>
  <c r="W50" i="69"/>
  <c r="W51" i="69"/>
  <c r="W52" i="69"/>
  <c r="W53" i="69"/>
  <c r="W54" i="69"/>
  <c r="W55" i="69"/>
  <c r="W56" i="69"/>
  <c r="W57" i="69"/>
  <c r="W58" i="69"/>
  <c r="W59" i="69"/>
  <c r="W60" i="69"/>
  <c r="W61" i="69"/>
  <c r="W62" i="69"/>
  <c r="W63" i="69"/>
  <c r="W64" i="69"/>
  <c r="W65" i="69"/>
  <c r="W66" i="69"/>
  <c r="W67" i="69"/>
  <c r="W68" i="69"/>
  <c r="W69" i="69"/>
  <c r="W70" i="69"/>
  <c r="W71" i="69"/>
  <c r="W72" i="69"/>
  <c r="W73" i="69"/>
  <c r="W74" i="69"/>
  <c r="W75" i="69"/>
  <c r="W76" i="69"/>
  <c r="W77" i="69"/>
  <c r="W78" i="69"/>
  <c r="W79" i="69"/>
  <c r="W80" i="69"/>
  <c r="W81" i="69"/>
  <c r="W82" i="69"/>
  <c r="W83" i="69"/>
  <c r="W84" i="69"/>
  <c r="W85" i="69"/>
  <c r="W86" i="69"/>
  <c r="W87" i="69"/>
  <c r="W88" i="69"/>
  <c r="W89" i="69"/>
  <c r="W90" i="69"/>
  <c r="W91" i="69"/>
  <c r="W92" i="69"/>
  <c r="W93" i="69"/>
  <c r="W94" i="69"/>
  <c r="W95" i="69"/>
  <c r="W96" i="69"/>
  <c r="W97" i="69"/>
  <c r="W98" i="69"/>
  <c r="W99" i="69"/>
  <c r="W100" i="69"/>
  <c r="W101" i="69"/>
  <c r="W102" i="69"/>
  <c r="W103" i="69"/>
  <c r="W104" i="69"/>
  <c r="W105" i="69"/>
  <c r="W106" i="69"/>
  <c r="W107" i="69"/>
  <c r="W108" i="69"/>
  <c r="W109" i="69"/>
  <c r="W110" i="69"/>
  <c r="W111" i="69"/>
  <c r="W112" i="69"/>
  <c r="W113" i="69"/>
  <c r="W114" i="69"/>
  <c r="W115" i="69"/>
  <c r="W116" i="69"/>
  <c r="W117" i="69"/>
  <c r="W118" i="69"/>
  <c r="W119" i="69"/>
  <c r="W120" i="69"/>
  <c r="W121" i="69"/>
  <c r="W122" i="69"/>
  <c r="W123" i="69"/>
  <c r="W124" i="69"/>
  <c r="W125" i="69"/>
  <c r="W126" i="69"/>
  <c r="W127" i="69"/>
  <c r="W128" i="69"/>
  <c r="W129" i="69"/>
  <c r="W130" i="69"/>
  <c r="W131" i="69"/>
  <c r="W132" i="69"/>
  <c r="W133" i="69"/>
  <c r="W134" i="69"/>
  <c r="W135" i="69"/>
  <c r="W136" i="69"/>
  <c r="W137" i="69"/>
  <c r="W138" i="69"/>
  <c r="W139" i="69"/>
  <c r="W140" i="69"/>
  <c r="W141" i="69"/>
  <c r="W142" i="69"/>
  <c r="W143" i="69"/>
  <c r="W144" i="69"/>
  <c r="W145" i="69"/>
  <c r="W146" i="69"/>
  <c r="W147" i="69"/>
  <c r="W148" i="69"/>
  <c r="W149" i="69"/>
  <c r="W150" i="69"/>
  <c r="W151" i="69"/>
  <c r="W152" i="69"/>
  <c r="W153" i="69"/>
  <c r="W154" i="69"/>
  <c r="W155" i="69"/>
  <c r="W156" i="69"/>
  <c r="W157" i="69"/>
  <c r="W158" i="69"/>
  <c r="W159" i="69"/>
  <c r="W160" i="69"/>
  <c r="W161" i="69"/>
  <c r="W162" i="69"/>
  <c r="W163" i="69"/>
  <c r="W164" i="69"/>
  <c r="W165" i="69"/>
  <c r="W166" i="69"/>
  <c r="W167" i="69"/>
  <c r="W168" i="69"/>
  <c r="W169" i="69"/>
  <c r="W170" i="69"/>
  <c r="W171" i="69"/>
  <c r="W172" i="69"/>
  <c r="W173" i="69"/>
  <c r="W174" i="69"/>
  <c r="W175" i="69"/>
  <c r="W176" i="69"/>
  <c r="W177" i="69"/>
  <c r="W178" i="69"/>
  <c r="W179" i="69"/>
  <c r="W180" i="69"/>
  <c r="W181" i="69"/>
  <c r="W182" i="69"/>
  <c r="W183" i="69"/>
  <c r="W184" i="69"/>
  <c r="W185" i="69"/>
  <c r="W186" i="69"/>
  <c r="W187" i="69"/>
  <c r="W188" i="69"/>
  <c r="W189" i="69"/>
  <c r="W190" i="69"/>
  <c r="W191" i="69"/>
  <c r="W192" i="69"/>
  <c r="W193" i="69"/>
  <c r="W194" i="69"/>
  <c r="W195" i="69"/>
  <c r="W196" i="69"/>
  <c r="W197" i="69"/>
  <c r="W198" i="69"/>
  <c r="W199" i="69"/>
  <c r="W200" i="69"/>
  <c r="W201" i="69"/>
  <c r="W202" i="69"/>
  <c r="W203" i="69"/>
  <c r="W204" i="69"/>
  <c r="W205" i="69"/>
  <c r="W206" i="69"/>
  <c r="W207" i="69"/>
  <c r="W208" i="69"/>
  <c r="W209" i="69"/>
  <c r="W210" i="69"/>
  <c r="W211" i="69"/>
  <c r="W212" i="69"/>
  <c r="W213" i="69"/>
  <c r="W214" i="69"/>
  <c r="W215" i="69"/>
  <c r="W216" i="69"/>
  <c r="W217" i="69"/>
  <c r="W218" i="69"/>
  <c r="W19" i="69"/>
  <c r="F4" i="69"/>
  <c r="B130" i="71" s="1"/>
  <c r="N4" i="69"/>
  <c r="J218" i="69"/>
  <c r="J217" i="69"/>
  <c r="J216" i="69"/>
  <c r="J215" i="69"/>
  <c r="J214" i="69"/>
  <c r="J213" i="69"/>
  <c r="J212" i="69"/>
  <c r="J211" i="69"/>
  <c r="J210" i="69"/>
  <c r="J209" i="69"/>
  <c r="J208" i="69"/>
  <c r="J207" i="69"/>
  <c r="J206" i="69"/>
  <c r="J205" i="69"/>
  <c r="J204" i="69"/>
  <c r="J203" i="69"/>
  <c r="J202" i="69"/>
  <c r="J201" i="69"/>
  <c r="J200" i="69"/>
  <c r="J199" i="69"/>
  <c r="J198" i="69"/>
  <c r="J197" i="69"/>
  <c r="J196" i="69"/>
  <c r="J195" i="69"/>
  <c r="J194" i="69"/>
  <c r="J193" i="69"/>
  <c r="J192" i="69"/>
  <c r="J191" i="69"/>
  <c r="J190" i="69"/>
  <c r="J189" i="69"/>
  <c r="J188" i="69"/>
  <c r="J187" i="69"/>
  <c r="J186" i="69"/>
  <c r="J185" i="69"/>
  <c r="J184" i="69"/>
  <c r="J183" i="69"/>
  <c r="J182" i="69"/>
  <c r="J181" i="69"/>
  <c r="J180" i="69"/>
  <c r="J179" i="69"/>
  <c r="J178" i="69"/>
  <c r="J177" i="69"/>
  <c r="J176" i="69"/>
  <c r="J175" i="69"/>
  <c r="J174" i="69"/>
  <c r="J173" i="69"/>
  <c r="J172" i="69"/>
  <c r="J171" i="69"/>
  <c r="J170" i="69"/>
  <c r="J169" i="69"/>
  <c r="J168" i="69"/>
  <c r="J167" i="69"/>
  <c r="J166" i="69"/>
  <c r="J165" i="69"/>
  <c r="J164" i="69"/>
  <c r="J163" i="69"/>
  <c r="J162" i="69"/>
  <c r="J161" i="69"/>
  <c r="J160" i="69"/>
  <c r="J159" i="69"/>
  <c r="J158" i="69"/>
  <c r="J157" i="69"/>
  <c r="J156" i="69"/>
  <c r="J155" i="69"/>
  <c r="J154" i="69"/>
  <c r="J153" i="69"/>
  <c r="J152" i="69"/>
  <c r="J151" i="69"/>
  <c r="J150" i="69"/>
  <c r="J149" i="69"/>
  <c r="J148" i="69"/>
  <c r="J147" i="69"/>
  <c r="J146" i="69"/>
  <c r="J145" i="69"/>
  <c r="J144" i="69"/>
  <c r="J143" i="69"/>
  <c r="J142" i="69"/>
  <c r="J141" i="69"/>
  <c r="J140" i="69"/>
  <c r="J139" i="69"/>
  <c r="J138" i="69"/>
  <c r="J137" i="69"/>
  <c r="J136" i="69"/>
  <c r="J135" i="69"/>
  <c r="J134" i="69"/>
  <c r="J133" i="69"/>
  <c r="J132" i="69"/>
  <c r="J131" i="69"/>
  <c r="J130" i="69"/>
  <c r="J129" i="69"/>
  <c r="J128" i="69"/>
  <c r="J127" i="69"/>
  <c r="J126" i="69"/>
  <c r="J125" i="69"/>
  <c r="J124" i="69"/>
  <c r="J123" i="69"/>
  <c r="J122" i="69"/>
  <c r="J121" i="69"/>
  <c r="J120" i="69"/>
  <c r="J119" i="69"/>
  <c r="J118" i="69"/>
  <c r="J117" i="69"/>
  <c r="J116" i="69"/>
  <c r="J115" i="69"/>
  <c r="J114" i="69"/>
  <c r="J113" i="69"/>
  <c r="J112" i="69"/>
  <c r="J111" i="69"/>
  <c r="J110" i="69"/>
  <c r="J109" i="69"/>
  <c r="J108" i="69"/>
  <c r="J107" i="69"/>
  <c r="J106" i="69"/>
  <c r="J105" i="69"/>
  <c r="J104" i="69"/>
  <c r="J103" i="69"/>
  <c r="J102" i="69"/>
  <c r="J101" i="69"/>
  <c r="J100" i="69"/>
  <c r="J99" i="69"/>
  <c r="J98" i="69"/>
  <c r="J97" i="69"/>
  <c r="J96" i="69"/>
  <c r="J95" i="69"/>
  <c r="J94" i="69"/>
  <c r="J93" i="69"/>
  <c r="J92" i="69"/>
  <c r="J91" i="69"/>
  <c r="J90" i="69"/>
  <c r="J89" i="69"/>
  <c r="J88" i="69"/>
  <c r="J87" i="69"/>
  <c r="J86" i="69"/>
  <c r="J85" i="69"/>
  <c r="J84" i="69"/>
  <c r="J83" i="69"/>
  <c r="J82" i="69"/>
  <c r="J81" i="69"/>
  <c r="J80" i="69"/>
  <c r="J79" i="69"/>
  <c r="J78" i="69"/>
  <c r="J77" i="69"/>
  <c r="J76" i="69"/>
  <c r="J75" i="69"/>
  <c r="J74" i="69"/>
  <c r="J73" i="69"/>
  <c r="J72" i="69"/>
  <c r="J71" i="69"/>
  <c r="J70" i="69"/>
  <c r="J69" i="69"/>
  <c r="J68" i="69"/>
  <c r="J67" i="69"/>
  <c r="J66" i="69"/>
  <c r="J65" i="69"/>
  <c r="J64" i="69"/>
  <c r="J63" i="69"/>
  <c r="J62" i="69"/>
  <c r="J61" i="69"/>
  <c r="J60" i="69"/>
  <c r="J59" i="69"/>
  <c r="J58" i="69"/>
  <c r="J57" i="69"/>
  <c r="J56" i="69"/>
  <c r="J55" i="69"/>
  <c r="J54" i="69"/>
  <c r="J53" i="69"/>
  <c r="J52" i="69"/>
  <c r="J51" i="69"/>
  <c r="J50" i="69"/>
  <c r="J49" i="69"/>
  <c r="J48" i="69"/>
  <c r="J47" i="69"/>
  <c r="J46" i="69"/>
  <c r="J45" i="69"/>
  <c r="J44" i="69"/>
  <c r="J43" i="69"/>
  <c r="J42" i="69"/>
  <c r="J41" i="69"/>
  <c r="J40" i="69"/>
  <c r="J39" i="69"/>
  <c r="J38" i="69"/>
  <c r="J37" i="69"/>
  <c r="J36" i="69"/>
  <c r="J35" i="69"/>
  <c r="J34" i="69"/>
  <c r="J33" i="69"/>
  <c r="J32" i="69"/>
  <c r="J31" i="69"/>
  <c r="J30" i="69"/>
  <c r="J29" i="69"/>
  <c r="J28" i="69"/>
  <c r="J27" i="69"/>
  <c r="J26" i="69"/>
  <c r="J25" i="69"/>
  <c r="J24" i="69"/>
  <c r="J23" i="69"/>
  <c r="J22" i="69"/>
  <c r="J21" i="69"/>
  <c r="J20" i="69"/>
  <c r="J19" i="69"/>
  <c r="U4" i="69" l="1"/>
  <c r="P14" i="67"/>
  <c r="E11" i="69"/>
  <c r="U6" i="69"/>
  <c r="C1" i="56"/>
  <c r="B17" i="71" s="1"/>
  <c r="C1" i="57"/>
  <c r="B16" i="71" s="1"/>
  <c r="C1" i="58"/>
  <c r="B15" i="71" s="1"/>
  <c r="C1" i="59"/>
  <c r="B14" i="71" s="1"/>
  <c r="C1" i="60"/>
  <c r="B13" i="71" s="1"/>
  <c r="C1" i="61"/>
  <c r="B12" i="71" s="1"/>
  <c r="C1" i="62"/>
  <c r="B11" i="71" s="1"/>
  <c r="C1" i="63"/>
  <c r="B10" i="71" s="1"/>
  <c r="C1" i="64"/>
  <c r="B9" i="71" s="1"/>
  <c r="C1" i="65"/>
  <c r="B8" i="71" s="1"/>
  <c r="C1" i="51"/>
  <c r="B7" i="71" s="1"/>
  <c r="C1" i="53"/>
  <c r="B6" i="71" s="1"/>
  <c r="C1" i="54"/>
  <c r="B5" i="71" s="1"/>
  <c r="C1" i="55"/>
  <c r="B4" i="71" s="1"/>
  <c r="J220" i="65"/>
  <c r="J219" i="65"/>
  <c r="J218" i="65"/>
  <c r="J217" i="65"/>
  <c r="J216" i="65"/>
  <c r="J215" i="65"/>
  <c r="J214" i="65"/>
  <c r="J213" i="65"/>
  <c r="J212" i="65"/>
  <c r="J211" i="65"/>
  <c r="J210" i="65"/>
  <c r="J209" i="65"/>
  <c r="J208" i="65"/>
  <c r="J207" i="65"/>
  <c r="J206" i="65"/>
  <c r="J205" i="65"/>
  <c r="J204" i="65"/>
  <c r="J203" i="65"/>
  <c r="J202" i="65"/>
  <c r="J201" i="65"/>
  <c r="J200" i="65"/>
  <c r="J199" i="65"/>
  <c r="J198" i="65"/>
  <c r="J197" i="65"/>
  <c r="J196" i="65"/>
  <c r="J195" i="65"/>
  <c r="J194" i="65"/>
  <c r="J193" i="65"/>
  <c r="J192" i="65"/>
  <c r="J191" i="65"/>
  <c r="J190" i="65"/>
  <c r="J189" i="65"/>
  <c r="J188" i="65"/>
  <c r="J187" i="65"/>
  <c r="J186" i="65"/>
  <c r="J185" i="65"/>
  <c r="J184" i="65"/>
  <c r="J183" i="65"/>
  <c r="J182" i="65"/>
  <c r="J181" i="65"/>
  <c r="J180" i="65"/>
  <c r="J179" i="65"/>
  <c r="J178" i="65"/>
  <c r="J177" i="65"/>
  <c r="J176" i="65"/>
  <c r="J175" i="65"/>
  <c r="J174" i="65"/>
  <c r="J173" i="65"/>
  <c r="J172" i="65"/>
  <c r="J171" i="65"/>
  <c r="U170" i="65"/>
  <c r="J170" i="65"/>
  <c r="U169" i="65"/>
  <c r="J169" i="65"/>
  <c r="U168" i="65"/>
  <c r="J168" i="65"/>
  <c r="U167" i="65"/>
  <c r="J167" i="65"/>
  <c r="U166" i="65"/>
  <c r="J166" i="65"/>
  <c r="U165" i="65"/>
  <c r="J165" i="65"/>
  <c r="U164" i="65"/>
  <c r="J164" i="65"/>
  <c r="U163" i="65"/>
  <c r="J163" i="65"/>
  <c r="U162" i="65"/>
  <c r="J162" i="65"/>
  <c r="U161" i="65"/>
  <c r="J161" i="65"/>
  <c r="U160" i="65"/>
  <c r="J160" i="65"/>
  <c r="U159" i="65"/>
  <c r="J159" i="65"/>
  <c r="U158" i="65"/>
  <c r="J158" i="65"/>
  <c r="U157" i="65"/>
  <c r="J157" i="65"/>
  <c r="U156" i="65"/>
  <c r="J156" i="65"/>
  <c r="U155" i="65"/>
  <c r="J155" i="65"/>
  <c r="U154" i="65"/>
  <c r="J154" i="65"/>
  <c r="U153" i="65"/>
  <c r="J153" i="65"/>
  <c r="U152" i="65"/>
  <c r="J152" i="65"/>
  <c r="U151" i="65"/>
  <c r="J151" i="65"/>
  <c r="U150" i="65"/>
  <c r="J150" i="65"/>
  <c r="U149" i="65"/>
  <c r="J149" i="65"/>
  <c r="U148" i="65"/>
  <c r="J148" i="65"/>
  <c r="U147" i="65"/>
  <c r="J147" i="65"/>
  <c r="U146" i="65"/>
  <c r="J146" i="65"/>
  <c r="U145" i="65"/>
  <c r="J145" i="65"/>
  <c r="U144" i="65"/>
  <c r="J144" i="65"/>
  <c r="U143" i="65"/>
  <c r="J143" i="65"/>
  <c r="U142" i="65"/>
  <c r="J142" i="65"/>
  <c r="U141" i="65"/>
  <c r="J141" i="65"/>
  <c r="U140" i="65"/>
  <c r="J140" i="65"/>
  <c r="U139" i="65"/>
  <c r="J139" i="65"/>
  <c r="U138" i="65"/>
  <c r="J138" i="65"/>
  <c r="U137" i="65"/>
  <c r="J137" i="65"/>
  <c r="U136" i="65"/>
  <c r="J136" i="65"/>
  <c r="U135" i="65"/>
  <c r="J135" i="65"/>
  <c r="U134" i="65"/>
  <c r="J134" i="65"/>
  <c r="U133" i="65"/>
  <c r="J133" i="65"/>
  <c r="U132" i="65"/>
  <c r="J132" i="65"/>
  <c r="U131" i="65"/>
  <c r="J131" i="65"/>
  <c r="U130" i="65"/>
  <c r="J130" i="65"/>
  <c r="U129" i="65"/>
  <c r="J129" i="65"/>
  <c r="U128" i="65"/>
  <c r="J128" i="65"/>
  <c r="U127" i="65"/>
  <c r="J127" i="65"/>
  <c r="U126" i="65"/>
  <c r="J126" i="65"/>
  <c r="U125" i="65"/>
  <c r="J125" i="65"/>
  <c r="U124" i="65"/>
  <c r="J124" i="65"/>
  <c r="U123" i="65"/>
  <c r="J123" i="65"/>
  <c r="U122" i="65"/>
  <c r="J122" i="65"/>
  <c r="U121" i="65"/>
  <c r="J121" i="65"/>
  <c r="U120" i="65"/>
  <c r="J120" i="65"/>
  <c r="U119" i="65"/>
  <c r="J119" i="65"/>
  <c r="U118" i="65"/>
  <c r="J118" i="65"/>
  <c r="U117" i="65"/>
  <c r="J117" i="65"/>
  <c r="U116" i="65"/>
  <c r="J116" i="65"/>
  <c r="U115" i="65"/>
  <c r="J115" i="65"/>
  <c r="U114" i="65"/>
  <c r="J114" i="65"/>
  <c r="U113" i="65"/>
  <c r="J113" i="65"/>
  <c r="U112" i="65"/>
  <c r="J112" i="65"/>
  <c r="U111" i="65"/>
  <c r="J111" i="65"/>
  <c r="U110" i="65"/>
  <c r="J110" i="65"/>
  <c r="U109" i="65"/>
  <c r="J109" i="65"/>
  <c r="U108" i="65"/>
  <c r="J108" i="65"/>
  <c r="U107" i="65"/>
  <c r="J107" i="65"/>
  <c r="U106" i="65"/>
  <c r="J106" i="65"/>
  <c r="U105" i="65"/>
  <c r="J105" i="65"/>
  <c r="U104" i="65"/>
  <c r="J104" i="65"/>
  <c r="U103" i="65"/>
  <c r="J103" i="65"/>
  <c r="U102" i="65"/>
  <c r="J102" i="65"/>
  <c r="U101" i="65"/>
  <c r="J101" i="65"/>
  <c r="U100" i="65"/>
  <c r="J100" i="65"/>
  <c r="U99" i="65"/>
  <c r="J99" i="65"/>
  <c r="U98" i="65"/>
  <c r="J98" i="65"/>
  <c r="U97" i="65"/>
  <c r="J97" i="65"/>
  <c r="U96" i="65"/>
  <c r="J96" i="65"/>
  <c r="U95" i="65"/>
  <c r="J95" i="65"/>
  <c r="U94" i="65"/>
  <c r="J94" i="65"/>
  <c r="U93" i="65"/>
  <c r="J93" i="65"/>
  <c r="U92" i="65"/>
  <c r="J92" i="65"/>
  <c r="U91" i="65"/>
  <c r="J91" i="65"/>
  <c r="U90" i="65"/>
  <c r="J90" i="65"/>
  <c r="U89" i="65"/>
  <c r="J89" i="65"/>
  <c r="U88" i="65"/>
  <c r="J88" i="65"/>
  <c r="U87" i="65"/>
  <c r="J87" i="65"/>
  <c r="U86" i="65"/>
  <c r="J86" i="65"/>
  <c r="U85" i="65"/>
  <c r="J85" i="65"/>
  <c r="U84" i="65"/>
  <c r="J84" i="65"/>
  <c r="U83" i="65"/>
  <c r="J83" i="65"/>
  <c r="U82" i="65"/>
  <c r="J82" i="65"/>
  <c r="U81" i="65"/>
  <c r="J81" i="65"/>
  <c r="U80" i="65"/>
  <c r="J80" i="65"/>
  <c r="U79" i="65"/>
  <c r="J79" i="65"/>
  <c r="U78" i="65"/>
  <c r="J78" i="65"/>
  <c r="U77" i="65"/>
  <c r="J77" i="65"/>
  <c r="U76" i="65"/>
  <c r="J76" i="65"/>
  <c r="U75" i="65"/>
  <c r="J75" i="65"/>
  <c r="U74" i="65"/>
  <c r="J74" i="65"/>
  <c r="U73" i="65"/>
  <c r="J73" i="65"/>
  <c r="U72" i="65"/>
  <c r="J72" i="65"/>
  <c r="U71" i="65"/>
  <c r="J71" i="65"/>
  <c r="U70" i="65"/>
  <c r="J70" i="65"/>
  <c r="U69" i="65"/>
  <c r="J69" i="65"/>
  <c r="U68" i="65"/>
  <c r="J68" i="65"/>
  <c r="U67" i="65"/>
  <c r="J67" i="65"/>
  <c r="U66" i="65"/>
  <c r="J66" i="65"/>
  <c r="U65" i="65"/>
  <c r="J65" i="65"/>
  <c r="U64" i="65"/>
  <c r="J64" i="65"/>
  <c r="U63" i="65"/>
  <c r="J63" i="65"/>
  <c r="U62" i="65"/>
  <c r="J62" i="65"/>
  <c r="U61" i="65"/>
  <c r="J61" i="65"/>
  <c r="U60" i="65"/>
  <c r="J60" i="65"/>
  <c r="U59" i="65"/>
  <c r="J59" i="65"/>
  <c r="U58" i="65"/>
  <c r="J58" i="65"/>
  <c r="U57" i="65"/>
  <c r="J57" i="65"/>
  <c r="U56" i="65"/>
  <c r="J56" i="65"/>
  <c r="U55" i="65"/>
  <c r="J55" i="65"/>
  <c r="U54" i="65"/>
  <c r="J54" i="65"/>
  <c r="U53" i="65"/>
  <c r="J53" i="65"/>
  <c r="U52" i="65"/>
  <c r="J52" i="65"/>
  <c r="U51" i="65"/>
  <c r="J51" i="65"/>
  <c r="U50" i="65"/>
  <c r="J50" i="65"/>
  <c r="U49" i="65"/>
  <c r="J49" i="65"/>
  <c r="U48" i="65"/>
  <c r="J48" i="65"/>
  <c r="U47" i="65"/>
  <c r="J47" i="65"/>
  <c r="U46" i="65"/>
  <c r="J46" i="65"/>
  <c r="U45" i="65"/>
  <c r="J45" i="65"/>
  <c r="U44" i="65"/>
  <c r="J44" i="65"/>
  <c r="U43" i="65"/>
  <c r="J43" i="65"/>
  <c r="U42" i="65"/>
  <c r="J42" i="65"/>
  <c r="U41" i="65"/>
  <c r="J41" i="65"/>
  <c r="U40" i="65"/>
  <c r="J40" i="65"/>
  <c r="U39" i="65"/>
  <c r="J39" i="65"/>
  <c r="U38" i="65"/>
  <c r="J38" i="65"/>
  <c r="U37" i="65"/>
  <c r="J37" i="65"/>
  <c r="U36" i="65"/>
  <c r="J36" i="65"/>
  <c r="U35" i="65"/>
  <c r="J35" i="65"/>
  <c r="U34" i="65"/>
  <c r="J34" i="65"/>
  <c r="U33" i="65"/>
  <c r="J33" i="65"/>
  <c r="U32" i="65"/>
  <c r="J32" i="65"/>
  <c r="U31" i="65"/>
  <c r="J31" i="65"/>
  <c r="U30" i="65"/>
  <c r="J30" i="65"/>
  <c r="U29" i="65"/>
  <c r="J29" i="65"/>
  <c r="U28" i="65"/>
  <c r="J28" i="65"/>
  <c r="U27" i="65"/>
  <c r="J27" i="65"/>
  <c r="U26" i="65"/>
  <c r="J26" i="65"/>
  <c r="U25" i="65"/>
  <c r="J25" i="65"/>
  <c r="U24" i="65"/>
  <c r="J24" i="65"/>
  <c r="U23" i="65"/>
  <c r="J23" i="65"/>
  <c r="U22" i="65"/>
  <c r="J22" i="65"/>
  <c r="U21" i="65"/>
  <c r="N8" i="65" s="1"/>
  <c r="J21" i="65"/>
  <c r="U8" i="65"/>
  <c r="N4" i="65"/>
  <c r="F4" i="65"/>
  <c r="C8" i="72" s="1"/>
  <c r="E8" i="72" s="1"/>
  <c r="J220" i="64"/>
  <c r="J219" i="64"/>
  <c r="J218" i="64"/>
  <c r="J217" i="64"/>
  <c r="J216" i="64"/>
  <c r="J215" i="64"/>
  <c r="J214" i="64"/>
  <c r="J213" i="64"/>
  <c r="J212" i="64"/>
  <c r="J211" i="64"/>
  <c r="J210" i="64"/>
  <c r="J209" i="64"/>
  <c r="J208" i="64"/>
  <c r="J207" i="64"/>
  <c r="J206" i="64"/>
  <c r="J205" i="64"/>
  <c r="J204" i="64"/>
  <c r="J203" i="64"/>
  <c r="J202" i="64"/>
  <c r="J201" i="64"/>
  <c r="J200" i="64"/>
  <c r="J199" i="64"/>
  <c r="J198" i="64"/>
  <c r="J197" i="64"/>
  <c r="J196" i="64"/>
  <c r="J195" i="64"/>
  <c r="J194" i="64"/>
  <c r="J193" i="64"/>
  <c r="J192" i="64"/>
  <c r="J191" i="64"/>
  <c r="J190" i="64"/>
  <c r="J189" i="64"/>
  <c r="J188" i="64"/>
  <c r="J187" i="64"/>
  <c r="J186" i="64"/>
  <c r="J185" i="64"/>
  <c r="J184" i="64"/>
  <c r="J183" i="64"/>
  <c r="J182" i="64"/>
  <c r="J181" i="64"/>
  <c r="J180" i="64"/>
  <c r="J179" i="64"/>
  <c r="J178" i="64"/>
  <c r="J177" i="64"/>
  <c r="J176" i="64"/>
  <c r="J175" i="64"/>
  <c r="J174" i="64"/>
  <c r="J173" i="64"/>
  <c r="J172" i="64"/>
  <c r="J171" i="64"/>
  <c r="U170" i="64"/>
  <c r="J170" i="64"/>
  <c r="U169" i="64"/>
  <c r="J169" i="64"/>
  <c r="U168" i="64"/>
  <c r="J168" i="64"/>
  <c r="U167" i="64"/>
  <c r="J167" i="64"/>
  <c r="U166" i="64"/>
  <c r="J166" i="64"/>
  <c r="U165" i="64"/>
  <c r="J165" i="64"/>
  <c r="U164" i="64"/>
  <c r="J164" i="64"/>
  <c r="U163" i="64"/>
  <c r="J163" i="64"/>
  <c r="U162" i="64"/>
  <c r="J162" i="64"/>
  <c r="U161" i="64"/>
  <c r="J161" i="64"/>
  <c r="U160" i="64"/>
  <c r="J160" i="64"/>
  <c r="U159" i="64"/>
  <c r="J159" i="64"/>
  <c r="U158" i="64"/>
  <c r="J158" i="64"/>
  <c r="U157" i="64"/>
  <c r="J157" i="64"/>
  <c r="U156" i="64"/>
  <c r="J156" i="64"/>
  <c r="U155" i="64"/>
  <c r="J155" i="64"/>
  <c r="U154" i="64"/>
  <c r="J154" i="64"/>
  <c r="U153" i="64"/>
  <c r="J153" i="64"/>
  <c r="U152" i="64"/>
  <c r="J152" i="64"/>
  <c r="U151" i="64"/>
  <c r="J151" i="64"/>
  <c r="U150" i="64"/>
  <c r="J150" i="64"/>
  <c r="U149" i="64"/>
  <c r="J149" i="64"/>
  <c r="U148" i="64"/>
  <c r="J148" i="64"/>
  <c r="U147" i="64"/>
  <c r="J147" i="64"/>
  <c r="U146" i="64"/>
  <c r="J146" i="64"/>
  <c r="U145" i="64"/>
  <c r="J145" i="64"/>
  <c r="U144" i="64"/>
  <c r="J144" i="64"/>
  <c r="U143" i="64"/>
  <c r="J143" i="64"/>
  <c r="U142" i="64"/>
  <c r="J142" i="64"/>
  <c r="U141" i="64"/>
  <c r="J141" i="64"/>
  <c r="U140" i="64"/>
  <c r="J140" i="64"/>
  <c r="U139" i="64"/>
  <c r="J139" i="64"/>
  <c r="U138" i="64"/>
  <c r="J138" i="64"/>
  <c r="U137" i="64"/>
  <c r="J137" i="64"/>
  <c r="U136" i="64"/>
  <c r="J136" i="64"/>
  <c r="U135" i="64"/>
  <c r="J135" i="64"/>
  <c r="U134" i="64"/>
  <c r="J134" i="64"/>
  <c r="U133" i="64"/>
  <c r="J133" i="64"/>
  <c r="U132" i="64"/>
  <c r="J132" i="64"/>
  <c r="U131" i="64"/>
  <c r="J131" i="64"/>
  <c r="U130" i="64"/>
  <c r="J130" i="64"/>
  <c r="U129" i="64"/>
  <c r="J129" i="64"/>
  <c r="U128" i="64"/>
  <c r="J128" i="64"/>
  <c r="U127" i="64"/>
  <c r="J127" i="64"/>
  <c r="U126" i="64"/>
  <c r="J126" i="64"/>
  <c r="U125" i="64"/>
  <c r="J125" i="64"/>
  <c r="U124" i="64"/>
  <c r="J124" i="64"/>
  <c r="U123" i="64"/>
  <c r="J123" i="64"/>
  <c r="U122" i="64"/>
  <c r="J122" i="64"/>
  <c r="U121" i="64"/>
  <c r="J121" i="64"/>
  <c r="U120" i="64"/>
  <c r="J120" i="64"/>
  <c r="U119" i="64"/>
  <c r="J119" i="64"/>
  <c r="U118" i="64"/>
  <c r="J118" i="64"/>
  <c r="U117" i="64"/>
  <c r="J117" i="64"/>
  <c r="U116" i="64"/>
  <c r="J116" i="64"/>
  <c r="U115" i="64"/>
  <c r="J115" i="64"/>
  <c r="U114" i="64"/>
  <c r="J114" i="64"/>
  <c r="U113" i="64"/>
  <c r="J113" i="64"/>
  <c r="U112" i="64"/>
  <c r="J112" i="64"/>
  <c r="U111" i="64"/>
  <c r="J111" i="64"/>
  <c r="U110" i="64"/>
  <c r="J110" i="64"/>
  <c r="U109" i="64"/>
  <c r="J109" i="64"/>
  <c r="U108" i="64"/>
  <c r="J108" i="64"/>
  <c r="U107" i="64"/>
  <c r="J107" i="64"/>
  <c r="U106" i="64"/>
  <c r="J106" i="64"/>
  <c r="U105" i="64"/>
  <c r="J105" i="64"/>
  <c r="U104" i="64"/>
  <c r="J104" i="64"/>
  <c r="U103" i="64"/>
  <c r="J103" i="64"/>
  <c r="U102" i="64"/>
  <c r="J102" i="64"/>
  <c r="U101" i="64"/>
  <c r="J101" i="64"/>
  <c r="U100" i="64"/>
  <c r="J100" i="64"/>
  <c r="U99" i="64"/>
  <c r="J99" i="64"/>
  <c r="U98" i="64"/>
  <c r="J98" i="64"/>
  <c r="U97" i="64"/>
  <c r="J97" i="64"/>
  <c r="U96" i="64"/>
  <c r="J96" i="64"/>
  <c r="U95" i="64"/>
  <c r="J95" i="64"/>
  <c r="U94" i="64"/>
  <c r="J94" i="64"/>
  <c r="U93" i="64"/>
  <c r="J93" i="64"/>
  <c r="U92" i="64"/>
  <c r="J92" i="64"/>
  <c r="U91" i="64"/>
  <c r="J91" i="64"/>
  <c r="U90" i="64"/>
  <c r="J90" i="64"/>
  <c r="U89" i="64"/>
  <c r="J89" i="64"/>
  <c r="U88" i="64"/>
  <c r="J88" i="64"/>
  <c r="U87" i="64"/>
  <c r="J87" i="64"/>
  <c r="U86" i="64"/>
  <c r="J86" i="64"/>
  <c r="U85" i="64"/>
  <c r="J85" i="64"/>
  <c r="U84" i="64"/>
  <c r="J84" i="64"/>
  <c r="U83" i="64"/>
  <c r="J83" i="64"/>
  <c r="U82" i="64"/>
  <c r="J82" i="64"/>
  <c r="U81" i="64"/>
  <c r="J81" i="64"/>
  <c r="U80" i="64"/>
  <c r="J80" i="64"/>
  <c r="U79" i="64"/>
  <c r="J79" i="64"/>
  <c r="U78" i="64"/>
  <c r="J78" i="64"/>
  <c r="U77" i="64"/>
  <c r="J77" i="64"/>
  <c r="U76" i="64"/>
  <c r="J76" i="64"/>
  <c r="U75" i="64"/>
  <c r="J75" i="64"/>
  <c r="U74" i="64"/>
  <c r="J74" i="64"/>
  <c r="U73" i="64"/>
  <c r="J73" i="64"/>
  <c r="U72" i="64"/>
  <c r="J72" i="64"/>
  <c r="U71" i="64"/>
  <c r="J71" i="64"/>
  <c r="U70" i="64"/>
  <c r="J70" i="64"/>
  <c r="U69" i="64"/>
  <c r="J69" i="64"/>
  <c r="U68" i="64"/>
  <c r="J68" i="64"/>
  <c r="U67" i="64"/>
  <c r="J67" i="64"/>
  <c r="U66" i="64"/>
  <c r="J66" i="64"/>
  <c r="U65" i="64"/>
  <c r="J65" i="64"/>
  <c r="U64" i="64"/>
  <c r="J64" i="64"/>
  <c r="U63" i="64"/>
  <c r="J63" i="64"/>
  <c r="U62" i="64"/>
  <c r="J62" i="64"/>
  <c r="U61" i="64"/>
  <c r="J61" i="64"/>
  <c r="U60" i="64"/>
  <c r="J60" i="64"/>
  <c r="U59" i="64"/>
  <c r="J59" i="64"/>
  <c r="U58" i="64"/>
  <c r="J58" i="64"/>
  <c r="U57" i="64"/>
  <c r="J57" i="64"/>
  <c r="U56" i="64"/>
  <c r="J56" i="64"/>
  <c r="U55" i="64"/>
  <c r="J55" i="64"/>
  <c r="U54" i="64"/>
  <c r="J54" i="64"/>
  <c r="U53" i="64"/>
  <c r="J53" i="64"/>
  <c r="U52" i="64"/>
  <c r="J52" i="64"/>
  <c r="U51" i="64"/>
  <c r="J51" i="64"/>
  <c r="U50" i="64"/>
  <c r="J50" i="64"/>
  <c r="U49" i="64"/>
  <c r="J49" i="64"/>
  <c r="U48" i="64"/>
  <c r="J48" i="64"/>
  <c r="U47" i="64"/>
  <c r="J47" i="64"/>
  <c r="U46" i="64"/>
  <c r="J46" i="64"/>
  <c r="U45" i="64"/>
  <c r="J45" i="64"/>
  <c r="U44" i="64"/>
  <c r="J44" i="64"/>
  <c r="U43" i="64"/>
  <c r="J43" i="64"/>
  <c r="U42" i="64"/>
  <c r="J42" i="64"/>
  <c r="U41" i="64"/>
  <c r="J41" i="64"/>
  <c r="U40" i="64"/>
  <c r="J40" i="64"/>
  <c r="U39" i="64"/>
  <c r="J39" i="64"/>
  <c r="U38" i="64"/>
  <c r="J38" i="64"/>
  <c r="U37" i="64"/>
  <c r="J37" i="64"/>
  <c r="U36" i="64"/>
  <c r="J36" i="64"/>
  <c r="U35" i="64"/>
  <c r="J35" i="64"/>
  <c r="U34" i="64"/>
  <c r="J34" i="64"/>
  <c r="U33" i="64"/>
  <c r="J33" i="64"/>
  <c r="U32" i="64"/>
  <c r="J32" i="64"/>
  <c r="U31" i="64"/>
  <c r="J31" i="64"/>
  <c r="U30" i="64"/>
  <c r="J30" i="64"/>
  <c r="U29" i="64"/>
  <c r="J29" i="64"/>
  <c r="U28" i="64"/>
  <c r="J28" i="64"/>
  <c r="U27" i="64"/>
  <c r="J27" i="64"/>
  <c r="U26" i="64"/>
  <c r="J26" i="64"/>
  <c r="U25" i="64"/>
  <c r="J25" i="64"/>
  <c r="U24" i="64"/>
  <c r="J24" i="64"/>
  <c r="U23" i="64"/>
  <c r="J23" i="64"/>
  <c r="U22" i="64"/>
  <c r="J22" i="64"/>
  <c r="U21" i="64"/>
  <c r="N8" i="64" s="1"/>
  <c r="F9" i="71" s="1"/>
  <c r="J21" i="64"/>
  <c r="U8" i="64"/>
  <c r="N4" i="64"/>
  <c r="F4" i="64"/>
  <c r="C9" i="72" s="1"/>
  <c r="E9" i="72" s="1"/>
  <c r="J220" i="63"/>
  <c r="J219" i="63"/>
  <c r="J218" i="63"/>
  <c r="J217" i="63"/>
  <c r="J216" i="63"/>
  <c r="J215" i="63"/>
  <c r="J214" i="63"/>
  <c r="J213" i="63"/>
  <c r="J212" i="63"/>
  <c r="J211" i="63"/>
  <c r="J210" i="63"/>
  <c r="J209" i="63"/>
  <c r="J208" i="63"/>
  <c r="J207" i="63"/>
  <c r="J206" i="63"/>
  <c r="J205" i="63"/>
  <c r="J204" i="63"/>
  <c r="J203" i="63"/>
  <c r="J202" i="63"/>
  <c r="J201" i="63"/>
  <c r="J200" i="63"/>
  <c r="J199" i="63"/>
  <c r="J198" i="63"/>
  <c r="J197" i="63"/>
  <c r="J196" i="63"/>
  <c r="J195" i="63"/>
  <c r="J194" i="63"/>
  <c r="J193" i="63"/>
  <c r="J192" i="63"/>
  <c r="J191" i="63"/>
  <c r="J190" i="63"/>
  <c r="J189" i="63"/>
  <c r="J188" i="63"/>
  <c r="J187" i="63"/>
  <c r="J186" i="63"/>
  <c r="J185" i="63"/>
  <c r="J184" i="63"/>
  <c r="J183" i="63"/>
  <c r="J182" i="63"/>
  <c r="J181" i="63"/>
  <c r="J180" i="63"/>
  <c r="J179" i="63"/>
  <c r="J178" i="63"/>
  <c r="J177" i="63"/>
  <c r="J176" i="63"/>
  <c r="J175" i="63"/>
  <c r="J174" i="63"/>
  <c r="J173" i="63"/>
  <c r="J172" i="63"/>
  <c r="J171" i="63"/>
  <c r="U170" i="63"/>
  <c r="J170" i="63"/>
  <c r="U169" i="63"/>
  <c r="J169" i="63"/>
  <c r="U168" i="63"/>
  <c r="J168" i="63"/>
  <c r="U167" i="63"/>
  <c r="J167" i="63"/>
  <c r="U166" i="63"/>
  <c r="J166" i="63"/>
  <c r="U165" i="63"/>
  <c r="J165" i="63"/>
  <c r="U164" i="63"/>
  <c r="J164" i="63"/>
  <c r="U163" i="63"/>
  <c r="J163" i="63"/>
  <c r="U162" i="63"/>
  <c r="J162" i="63"/>
  <c r="U161" i="63"/>
  <c r="J161" i="63"/>
  <c r="U160" i="63"/>
  <c r="J160" i="63"/>
  <c r="U159" i="63"/>
  <c r="J159" i="63"/>
  <c r="U158" i="63"/>
  <c r="J158" i="63"/>
  <c r="U157" i="63"/>
  <c r="J157" i="63"/>
  <c r="U156" i="63"/>
  <c r="J156" i="63"/>
  <c r="U155" i="63"/>
  <c r="J155" i="63"/>
  <c r="U154" i="63"/>
  <c r="J154" i="63"/>
  <c r="U153" i="63"/>
  <c r="J153" i="63"/>
  <c r="U152" i="63"/>
  <c r="J152" i="63"/>
  <c r="U151" i="63"/>
  <c r="J151" i="63"/>
  <c r="U150" i="63"/>
  <c r="J150" i="63"/>
  <c r="U149" i="63"/>
  <c r="J149" i="63"/>
  <c r="U148" i="63"/>
  <c r="J148" i="63"/>
  <c r="U147" i="63"/>
  <c r="J147" i="63"/>
  <c r="U146" i="63"/>
  <c r="J146" i="63"/>
  <c r="U145" i="63"/>
  <c r="J145" i="63"/>
  <c r="U144" i="63"/>
  <c r="J144" i="63"/>
  <c r="U143" i="63"/>
  <c r="J143" i="63"/>
  <c r="U142" i="63"/>
  <c r="J142" i="63"/>
  <c r="U141" i="63"/>
  <c r="J141" i="63"/>
  <c r="U140" i="63"/>
  <c r="J140" i="63"/>
  <c r="U139" i="63"/>
  <c r="J139" i="63"/>
  <c r="U138" i="63"/>
  <c r="J138" i="63"/>
  <c r="U137" i="63"/>
  <c r="J137" i="63"/>
  <c r="U136" i="63"/>
  <c r="J136" i="63"/>
  <c r="U135" i="63"/>
  <c r="J135" i="63"/>
  <c r="U134" i="63"/>
  <c r="J134" i="63"/>
  <c r="U133" i="63"/>
  <c r="J133" i="63"/>
  <c r="U132" i="63"/>
  <c r="J132" i="63"/>
  <c r="U131" i="63"/>
  <c r="J131" i="63"/>
  <c r="U130" i="63"/>
  <c r="J130" i="63"/>
  <c r="U129" i="63"/>
  <c r="J129" i="63"/>
  <c r="U128" i="63"/>
  <c r="J128" i="63"/>
  <c r="U127" i="63"/>
  <c r="J127" i="63"/>
  <c r="U126" i="63"/>
  <c r="J126" i="63"/>
  <c r="U125" i="63"/>
  <c r="J125" i="63"/>
  <c r="U124" i="63"/>
  <c r="J124" i="63"/>
  <c r="U123" i="63"/>
  <c r="J123" i="63"/>
  <c r="U122" i="63"/>
  <c r="J122" i="63"/>
  <c r="U121" i="63"/>
  <c r="J121" i="63"/>
  <c r="U120" i="63"/>
  <c r="J120" i="63"/>
  <c r="U119" i="63"/>
  <c r="J119" i="63"/>
  <c r="U118" i="63"/>
  <c r="J118" i="63"/>
  <c r="U117" i="63"/>
  <c r="J117" i="63"/>
  <c r="U116" i="63"/>
  <c r="J116" i="63"/>
  <c r="U115" i="63"/>
  <c r="J115" i="63"/>
  <c r="U114" i="63"/>
  <c r="J114" i="63"/>
  <c r="U113" i="63"/>
  <c r="J113" i="63"/>
  <c r="U112" i="63"/>
  <c r="J112" i="63"/>
  <c r="U111" i="63"/>
  <c r="J111" i="63"/>
  <c r="U110" i="63"/>
  <c r="J110" i="63"/>
  <c r="U109" i="63"/>
  <c r="J109" i="63"/>
  <c r="U108" i="63"/>
  <c r="J108" i="63"/>
  <c r="U107" i="63"/>
  <c r="J107" i="63"/>
  <c r="U106" i="63"/>
  <c r="J106" i="63"/>
  <c r="U105" i="63"/>
  <c r="J105" i="63"/>
  <c r="U104" i="63"/>
  <c r="J104" i="63"/>
  <c r="U103" i="63"/>
  <c r="J103" i="63"/>
  <c r="U102" i="63"/>
  <c r="J102" i="63"/>
  <c r="U101" i="63"/>
  <c r="J101" i="63"/>
  <c r="U100" i="63"/>
  <c r="J100" i="63"/>
  <c r="U99" i="63"/>
  <c r="J99" i="63"/>
  <c r="U98" i="63"/>
  <c r="J98" i="63"/>
  <c r="U97" i="63"/>
  <c r="J97" i="63"/>
  <c r="U96" i="63"/>
  <c r="J96" i="63"/>
  <c r="U95" i="63"/>
  <c r="J95" i="63"/>
  <c r="U94" i="63"/>
  <c r="J94" i="63"/>
  <c r="U93" i="63"/>
  <c r="J93" i="63"/>
  <c r="U92" i="63"/>
  <c r="J92" i="63"/>
  <c r="U91" i="63"/>
  <c r="J91" i="63"/>
  <c r="U90" i="63"/>
  <c r="J90" i="63"/>
  <c r="U89" i="63"/>
  <c r="J89" i="63"/>
  <c r="U88" i="63"/>
  <c r="J88" i="63"/>
  <c r="U87" i="63"/>
  <c r="J87" i="63"/>
  <c r="U86" i="63"/>
  <c r="J86" i="63"/>
  <c r="U85" i="63"/>
  <c r="J85" i="63"/>
  <c r="U84" i="63"/>
  <c r="J84" i="63"/>
  <c r="U83" i="63"/>
  <c r="J83" i="63"/>
  <c r="U82" i="63"/>
  <c r="J82" i="63"/>
  <c r="U81" i="63"/>
  <c r="J81" i="63"/>
  <c r="U80" i="63"/>
  <c r="J80" i="63"/>
  <c r="U79" i="63"/>
  <c r="J79" i="63"/>
  <c r="U78" i="63"/>
  <c r="J78" i="63"/>
  <c r="U77" i="63"/>
  <c r="J77" i="63"/>
  <c r="U76" i="63"/>
  <c r="J76" i="63"/>
  <c r="U75" i="63"/>
  <c r="J75" i="63"/>
  <c r="U74" i="63"/>
  <c r="J74" i="63"/>
  <c r="U73" i="63"/>
  <c r="J73" i="63"/>
  <c r="U72" i="63"/>
  <c r="J72" i="63"/>
  <c r="U71" i="63"/>
  <c r="J71" i="63"/>
  <c r="U70" i="63"/>
  <c r="J70" i="63"/>
  <c r="U69" i="63"/>
  <c r="J69" i="63"/>
  <c r="U68" i="63"/>
  <c r="J68" i="63"/>
  <c r="U67" i="63"/>
  <c r="J67" i="63"/>
  <c r="U66" i="63"/>
  <c r="J66" i="63"/>
  <c r="U65" i="63"/>
  <c r="J65" i="63"/>
  <c r="U64" i="63"/>
  <c r="J64" i="63"/>
  <c r="U63" i="63"/>
  <c r="J63" i="63"/>
  <c r="U62" i="63"/>
  <c r="J62" i="63"/>
  <c r="U61" i="63"/>
  <c r="J61" i="63"/>
  <c r="U60" i="63"/>
  <c r="J60" i="63"/>
  <c r="U59" i="63"/>
  <c r="J59" i="63"/>
  <c r="U58" i="63"/>
  <c r="J58" i="63"/>
  <c r="U57" i="63"/>
  <c r="J57" i="63"/>
  <c r="U56" i="63"/>
  <c r="J56" i="63"/>
  <c r="U55" i="63"/>
  <c r="J55" i="63"/>
  <c r="U54" i="63"/>
  <c r="J54" i="63"/>
  <c r="U53" i="63"/>
  <c r="J53" i="63"/>
  <c r="U52" i="63"/>
  <c r="J52" i="63"/>
  <c r="U51" i="63"/>
  <c r="J51" i="63"/>
  <c r="U50" i="63"/>
  <c r="J50" i="63"/>
  <c r="U49" i="63"/>
  <c r="J49" i="63"/>
  <c r="U48" i="63"/>
  <c r="J48" i="63"/>
  <c r="U47" i="63"/>
  <c r="J47" i="63"/>
  <c r="U46" i="63"/>
  <c r="J46" i="63"/>
  <c r="U45" i="63"/>
  <c r="J45" i="63"/>
  <c r="U44" i="63"/>
  <c r="J44" i="63"/>
  <c r="U43" i="63"/>
  <c r="J43" i="63"/>
  <c r="U42" i="63"/>
  <c r="J42" i="63"/>
  <c r="U41" i="63"/>
  <c r="J41" i="63"/>
  <c r="U40" i="63"/>
  <c r="J40" i="63"/>
  <c r="U39" i="63"/>
  <c r="J39" i="63"/>
  <c r="U38" i="63"/>
  <c r="J38" i="63"/>
  <c r="U37" i="63"/>
  <c r="J37" i="63"/>
  <c r="U36" i="63"/>
  <c r="J36" i="63"/>
  <c r="U35" i="63"/>
  <c r="J35" i="63"/>
  <c r="U34" i="63"/>
  <c r="J34" i="63"/>
  <c r="U33" i="63"/>
  <c r="J33" i="63"/>
  <c r="U32" i="63"/>
  <c r="J32" i="63"/>
  <c r="U31" i="63"/>
  <c r="J31" i="63"/>
  <c r="U30" i="63"/>
  <c r="J30" i="63"/>
  <c r="U29" i="63"/>
  <c r="J29" i="63"/>
  <c r="U28" i="63"/>
  <c r="J28" i="63"/>
  <c r="U27" i="63"/>
  <c r="J27" i="63"/>
  <c r="U26" i="63"/>
  <c r="J26" i="63"/>
  <c r="U25" i="63"/>
  <c r="J25" i="63"/>
  <c r="U24" i="63"/>
  <c r="J24" i="63"/>
  <c r="U23" i="63"/>
  <c r="J23" i="63"/>
  <c r="U22" i="63"/>
  <c r="J22" i="63"/>
  <c r="U21" i="63"/>
  <c r="J21" i="63"/>
  <c r="U6" i="63" s="1"/>
  <c r="U8" i="63"/>
  <c r="N8" i="63"/>
  <c r="N4" i="63"/>
  <c r="F4" i="63"/>
  <c r="J220" i="62"/>
  <c r="J219" i="62"/>
  <c r="J218" i="62"/>
  <c r="J217" i="62"/>
  <c r="J216" i="62"/>
  <c r="J215" i="62"/>
  <c r="J214" i="62"/>
  <c r="J213" i="62"/>
  <c r="J212" i="62"/>
  <c r="J211" i="62"/>
  <c r="J210" i="62"/>
  <c r="J209" i="62"/>
  <c r="J208" i="62"/>
  <c r="J207" i="62"/>
  <c r="J206" i="62"/>
  <c r="J205" i="62"/>
  <c r="J204" i="62"/>
  <c r="J203" i="62"/>
  <c r="J202" i="62"/>
  <c r="J201" i="62"/>
  <c r="J200" i="62"/>
  <c r="J199" i="62"/>
  <c r="J198" i="62"/>
  <c r="J197" i="62"/>
  <c r="J196" i="62"/>
  <c r="J195" i="62"/>
  <c r="J194" i="62"/>
  <c r="J193" i="62"/>
  <c r="J192" i="62"/>
  <c r="J191" i="62"/>
  <c r="J190" i="62"/>
  <c r="J189" i="62"/>
  <c r="J188" i="62"/>
  <c r="J187" i="62"/>
  <c r="J186" i="62"/>
  <c r="J185" i="62"/>
  <c r="J184" i="62"/>
  <c r="J183" i="62"/>
  <c r="J182" i="62"/>
  <c r="J181" i="62"/>
  <c r="J180" i="62"/>
  <c r="J179" i="62"/>
  <c r="J178" i="62"/>
  <c r="J177" i="62"/>
  <c r="J176" i="62"/>
  <c r="J175" i="62"/>
  <c r="J174" i="62"/>
  <c r="J173" i="62"/>
  <c r="J172" i="62"/>
  <c r="J171" i="62"/>
  <c r="U170" i="62"/>
  <c r="J170" i="62"/>
  <c r="U169" i="62"/>
  <c r="J169" i="62"/>
  <c r="U168" i="62"/>
  <c r="J168" i="62"/>
  <c r="U167" i="62"/>
  <c r="J167" i="62"/>
  <c r="U166" i="62"/>
  <c r="J166" i="62"/>
  <c r="U165" i="62"/>
  <c r="J165" i="62"/>
  <c r="U164" i="62"/>
  <c r="J164" i="62"/>
  <c r="U163" i="62"/>
  <c r="J163" i="62"/>
  <c r="U162" i="62"/>
  <c r="J162" i="62"/>
  <c r="U161" i="62"/>
  <c r="J161" i="62"/>
  <c r="U160" i="62"/>
  <c r="J160" i="62"/>
  <c r="U159" i="62"/>
  <c r="J159" i="62"/>
  <c r="U158" i="62"/>
  <c r="J158" i="62"/>
  <c r="U157" i="62"/>
  <c r="J157" i="62"/>
  <c r="U156" i="62"/>
  <c r="J156" i="62"/>
  <c r="U155" i="62"/>
  <c r="J155" i="62"/>
  <c r="U154" i="62"/>
  <c r="J154" i="62"/>
  <c r="U153" i="62"/>
  <c r="J153" i="62"/>
  <c r="U152" i="62"/>
  <c r="J152" i="62"/>
  <c r="U151" i="62"/>
  <c r="J151" i="62"/>
  <c r="U150" i="62"/>
  <c r="J150" i="62"/>
  <c r="U149" i="62"/>
  <c r="J149" i="62"/>
  <c r="U148" i="62"/>
  <c r="J148" i="62"/>
  <c r="U147" i="62"/>
  <c r="J147" i="62"/>
  <c r="U146" i="62"/>
  <c r="J146" i="62"/>
  <c r="U145" i="62"/>
  <c r="J145" i="62"/>
  <c r="U144" i="62"/>
  <c r="J144" i="62"/>
  <c r="U143" i="62"/>
  <c r="J143" i="62"/>
  <c r="U142" i="62"/>
  <c r="J142" i="62"/>
  <c r="U141" i="62"/>
  <c r="J141" i="62"/>
  <c r="U140" i="62"/>
  <c r="J140" i="62"/>
  <c r="U139" i="62"/>
  <c r="J139" i="62"/>
  <c r="U138" i="62"/>
  <c r="J138" i="62"/>
  <c r="U137" i="62"/>
  <c r="J137" i="62"/>
  <c r="U136" i="62"/>
  <c r="J136" i="62"/>
  <c r="U135" i="62"/>
  <c r="J135" i="62"/>
  <c r="U134" i="62"/>
  <c r="J134" i="62"/>
  <c r="U133" i="62"/>
  <c r="J133" i="62"/>
  <c r="U132" i="62"/>
  <c r="J132" i="62"/>
  <c r="U131" i="62"/>
  <c r="J131" i="62"/>
  <c r="U130" i="62"/>
  <c r="J130" i="62"/>
  <c r="U129" i="62"/>
  <c r="J129" i="62"/>
  <c r="U128" i="62"/>
  <c r="J128" i="62"/>
  <c r="U127" i="62"/>
  <c r="J127" i="62"/>
  <c r="U126" i="62"/>
  <c r="J126" i="62"/>
  <c r="U125" i="62"/>
  <c r="J125" i="62"/>
  <c r="U124" i="62"/>
  <c r="J124" i="62"/>
  <c r="U123" i="62"/>
  <c r="J123" i="62"/>
  <c r="U122" i="62"/>
  <c r="J122" i="62"/>
  <c r="U121" i="62"/>
  <c r="J121" i="62"/>
  <c r="U120" i="62"/>
  <c r="J120" i="62"/>
  <c r="U119" i="62"/>
  <c r="J119" i="62"/>
  <c r="U118" i="62"/>
  <c r="J118" i="62"/>
  <c r="U117" i="62"/>
  <c r="J117" i="62"/>
  <c r="U116" i="62"/>
  <c r="J116" i="62"/>
  <c r="U115" i="62"/>
  <c r="J115" i="62"/>
  <c r="U114" i="62"/>
  <c r="J114" i="62"/>
  <c r="U113" i="62"/>
  <c r="J113" i="62"/>
  <c r="U112" i="62"/>
  <c r="J112" i="62"/>
  <c r="U111" i="62"/>
  <c r="J111" i="62"/>
  <c r="U110" i="62"/>
  <c r="J110" i="62"/>
  <c r="U109" i="62"/>
  <c r="J109" i="62"/>
  <c r="U108" i="62"/>
  <c r="J108" i="62"/>
  <c r="U107" i="62"/>
  <c r="J107" i="62"/>
  <c r="U106" i="62"/>
  <c r="J106" i="62"/>
  <c r="U105" i="62"/>
  <c r="J105" i="62"/>
  <c r="U104" i="62"/>
  <c r="J104" i="62"/>
  <c r="U103" i="62"/>
  <c r="J103" i="62"/>
  <c r="U102" i="62"/>
  <c r="J102" i="62"/>
  <c r="U101" i="62"/>
  <c r="J101" i="62"/>
  <c r="U100" i="62"/>
  <c r="J100" i="62"/>
  <c r="U99" i="62"/>
  <c r="J99" i="62"/>
  <c r="U98" i="62"/>
  <c r="J98" i="62"/>
  <c r="U97" i="62"/>
  <c r="J97" i="62"/>
  <c r="U96" i="62"/>
  <c r="J96" i="62"/>
  <c r="U95" i="62"/>
  <c r="J95" i="62"/>
  <c r="U94" i="62"/>
  <c r="J94" i="62"/>
  <c r="U93" i="62"/>
  <c r="J93" i="62"/>
  <c r="U92" i="62"/>
  <c r="J92" i="62"/>
  <c r="U91" i="62"/>
  <c r="J91" i="62"/>
  <c r="U90" i="62"/>
  <c r="J90" i="62"/>
  <c r="U89" i="62"/>
  <c r="J89" i="62"/>
  <c r="U88" i="62"/>
  <c r="J88" i="62"/>
  <c r="U87" i="62"/>
  <c r="J87" i="62"/>
  <c r="U86" i="62"/>
  <c r="J86" i="62"/>
  <c r="U85" i="62"/>
  <c r="J85" i="62"/>
  <c r="U84" i="62"/>
  <c r="J84" i="62"/>
  <c r="U83" i="62"/>
  <c r="J83" i="62"/>
  <c r="U82" i="62"/>
  <c r="J82" i="62"/>
  <c r="U81" i="62"/>
  <c r="J81" i="62"/>
  <c r="U80" i="62"/>
  <c r="J80" i="62"/>
  <c r="U79" i="62"/>
  <c r="J79" i="62"/>
  <c r="U78" i="62"/>
  <c r="J78" i="62"/>
  <c r="U77" i="62"/>
  <c r="J77" i="62"/>
  <c r="U76" i="62"/>
  <c r="J76" i="62"/>
  <c r="U75" i="62"/>
  <c r="J75" i="62"/>
  <c r="U74" i="62"/>
  <c r="J74" i="62"/>
  <c r="U73" i="62"/>
  <c r="J73" i="62"/>
  <c r="U72" i="62"/>
  <c r="J72" i="62"/>
  <c r="U71" i="62"/>
  <c r="J71" i="62"/>
  <c r="U70" i="62"/>
  <c r="J70" i="62"/>
  <c r="U69" i="62"/>
  <c r="J69" i="62"/>
  <c r="U68" i="62"/>
  <c r="J68" i="62"/>
  <c r="U67" i="62"/>
  <c r="J67" i="62"/>
  <c r="U66" i="62"/>
  <c r="J66" i="62"/>
  <c r="U65" i="62"/>
  <c r="J65" i="62"/>
  <c r="U64" i="62"/>
  <c r="J64" i="62"/>
  <c r="U63" i="62"/>
  <c r="J63" i="62"/>
  <c r="U62" i="62"/>
  <c r="J62" i="62"/>
  <c r="U61" i="62"/>
  <c r="J61" i="62"/>
  <c r="U60" i="62"/>
  <c r="J60" i="62"/>
  <c r="U59" i="62"/>
  <c r="J59" i="62"/>
  <c r="U58" i="62"/>
  <c r="J58" i="62"/>
  <c r="U57" i="62"/>
  <c r="J57" i="62"/>
  <c r="U56" i="62"/>
  <c r="J56" i="62"/>
  <c r="U55" i="62"/>
  <c r="J55" i="62"/>
  <c r="U54" i="62"/>
  <c r="J54" i="62"/>
  <c r="U53" i="62"/>
  <c r="J53" i="62"/>
  <c r="U52" i="62"/>
  <c r="J52" i="62"/>
  <c r="U51" i="62"/>
  <c r="J51" i="62"/>
  <c r="U50" i="62"/>
  <c r="J50" i="62"/>
  <c r="U49" i="62"/>
  <c r="J49" i="62"/>
  <c r="U48" i="62"/>
  <c r="J48" i="62"/>
  <c r="U47" i="62"/>
  <c r="J47" i="62"/>
  <c r="U46" i="62"/>
  <c r="J46" i="62"/>
  <c r="U45" i="62"/>
  <c r="J45" i="62"/>
  <c r="U44" i="62"/>
  <c r="J44" i="62"/>
  <c r="U43" i="62"/>
  <c r="J43" i="62"/>
  <c r="U42" i="62"/>
  <c r="J42" i="62"/>
  <c r="U41" i="62"/>
  <c r="J41" i="62"/>
  <c r="U40" i="62"/>
  <c r="J40" i="62"/>
  <c r="U39" i="62"/>
  <c r="J39" i="62"/>
  <c r="U38" i="62"/>
  <c r="J38" i="62"/>
  <c r="U37" i="62"/>
  <c r="J37" i="62"/>
  <c r="U36" i="62"/>
  <c r="J36" i="62"/>
  <c r="U35" i="62"/>
  <c r="J35" i="62"/>
  <c r="U34" i="62"/>
  <c r="J34" i="62"/>
  <c r="U33" i="62"/>
  <c r="J33" i="62"/>
  <c r="U32" i="62"/>
  <c r="J32" i="62"/>
  <c r="U31" i="62"/>
  <c r="J31" i="62"/>
  <c r="U30" i="62"/>
  <c r="J30" i="62"/>
  <c r="U29" i="62"/>
  <c r="J29" i="62"/>
  <c r="U28" i="62"/>
  <c r="J28" i="62"/>
  <c r="U27" i="62"/>
  <c r="J27" i="62"/>
  <c r="U26" i="62"/>
  <c r="J26" i="62"/>
  <c r="U25" i="62"/>
  <c r="J25" i="62"/>
  <c r="U24" i="62"/>
  <c r="J24" i="62"/>
  <c r="U23" i="62"/>
  <c r="J23" i="62"/>
  <c r="U22" i="62"/>
  <c r="J22" i="62"/>
  <c r="U21" i="62"/>
  <c r="J21" i="62"/>
  <c r="U8" i="62"/>
  <c r="N8" i="62"/>
  <c r="U6" i="62"/>
  <c r="G11" i="71" s="1"/>
  <c r="N4" i="62"/>
  <c r="F4" i="62"/>
  <c r="J220" i="61"/>
  <c r="J219" i="61"/>
  <c r="J218" i="61"/>
  <c r="J217" i="61"/>
  <c r="J216" i="61"/>
  <c r="J215" i="61"/>
  <c r="J214" i="61"/>
  <c r="J213" i="61"/>
  <c r="J212" i="61"/>
  <c r="J211" i="61"/>
  <c r="J210" i="61"/>
  <c r="J209" i="61"/>
  <c r="J208" i="61"/>
  <c r="J207" i="61"/>
  <c r="J206" i="61"/>
  <c r="J205" i="61"/>
  <c r="J204" i="61"/>
  <c r="J203" i="61"/>
  <c r="J202" i="61"/>
  <c r="J201" i="61"/>
  <c r="J200" i="61"/>
  <c r="J199" i="61"/>
  <c r="J198" i="61"/>
  <c r="J197" i="61"/>
  <c r="J196" i="61"/>
  <c r="J195" i="61"/>
  <c r="J194" i="61"/>
  <c r="J193" i="61"/>
  <c r="J192" i="61"/>
  <c r="J191" i="61"/>
  <c r="J190" i="61"/>
  <c r="J189" i="61"/>
  <c r="J188" i="61"/>
  <c r="J187" i="61"/>
  <c r="J186" i="61"/>
  <c r="J185" i="61"/>
  <c r="J184" i="61"/>
  <c r="J183" i="61"/>
  <c r="J182" i="61"/>
  <c r="J181" i="61"/>
  <c r="J180" i="61"/>
  <c r="J179" i="61"/>
  <c r="J178" i="61"/>
  <c r="J177" i="61"/>
  <c r="J176" i="61"/>
  <c r="J175" i="61"/>
  <c r="J174" i="61"/>
  <c r="J173" i="61"/>
  <c r="J172" i="61"/>
  <c r="J171" i="61"/>
  <c r="U170" i="61"/>
  <c r="J170" i="61"/>
  <c r="U169" i="61"/>
  <c r="J169" i="61"/>
  <c r="U168" i="61"/>
  <c r="J168" i="61"/>
  <c r="U167" i="61"/>
  <c r="J167" i="61"/>
  <c r="U166" i="61"/>
  <c r="J166" i="61"/>
  <c r="U165" i="61"/>
  <c r="J165" i="61"/>
  <c r="U164" i="61"/>
  <c r="J164" i="61"/>
  <c r="U163" i="61"/>
  <c r="J163" i="61"/>
  <c r="U162" i="61"/>
  <c r="J162" i="61"/>
  <c r="U161" i="61"/>
  <c r="J161" i="61"/>
  <c r="U160" i="61"/>
  <c r="J160" i="61"/>
  <c r="U159" i="61"/>
  <c r="J159" i="61"/>
  <c r="U158" i="61"/>
  <c r="J158" i="61"/>
  <c r="U157" i="61"/>
  <c r="J157" i="61"/>
  <c r="U156" i="61"/>
  <c r="J156" i="61"/>
  <c r="U155" i="61"/>
  <c r="J155" i="61"/>
  <c r="U154" i="61"/>
  <c r="J154" i="61"/>
  <c r="U153" i="61"/>
  <c r="J153" i="61"/>
  <c r="U152" i="61"/>
  <c r="J152" i="61"/>
  <c r="U151" i="61"/>
  <c r="J151" i="61"/>
  <c r="U150" i="61"/>
  <c r="J150" i="61"/>
  <c r="U149" i="61"/>
  <c r="J149" i="61"/>
  <c r="U148" i="61"/>
  <c r="J148" i="61"/>
  <c r="U147" i="61"/>
  <c r="J147" i="61"/>
  <c r="U146" i="61"/>
  <c r="J146" i="61"/>
  <c r="U145" i="61"/>
  <c r="J145" i="61"/>
  <c r="U144" i="61"/>
  <c r="J144" i="61"/>
  <c r="U143" i="61"/>
  <c r="J143" i="61"/>
  <c r="U142" i="61"/>
  <c r="J142" i="61"/>
  <c r="U141" i="61"/>
  <c r="J141" i="61"/>
  <c r="U140" i="61"/>
  <c r="J140" i="61"/>
  <c r="U139" i="61"/>
  <c r="J139" i="61"/>
  <c r="U138" i="61"/>
  <c r="J138" i="61"/>
  <c r="U137" i="61"/>
  <c r="J137" i="61"/>
  <c r="U136" i="61"/>
  <c r="J136" i="61"/>
  <c r="U135" i="61"/>
  <c r="J135" i="61"/>
  <c r="U134" i="61"/>
  <c r="J134" i="61"/>
  <c r="U133" i="61"/>
  <c r="J133" i="61"/>
  <c r="U132" i="61"/>
  <c r="J132" i="61"/>
  <c r="U131" i="61"/>
  <c r="J131" i="61"/>
  <c r="U130" i="61"/>
  <c r="J130" i="61"/>
  <c r="U129" i="61"/>
  <c r="J129" i="61"/>
  <c r="U128" i="61"/>
  <c r="J128" i="61"/>
  <c r="U127" i="61"/>
  <c r="J127" i="61"/>
  <c r="U126" i="61"/>
  <c r="J126" i="61"/>
  <c r="U125" i="61"/>
  <c r="J125" i="61"/>
  <c r="U124" i="61"/>
  <c r="J124" i="61"/>
  <c r="U123" i="61"/>
  <c r="J123" i="61"/>
  <c r="U122" i="61"/>
  <c r="J122" i="61"/>
  <c r="U121" i="61"/>
  <c r="J121" i="61"/>
  <c r="U120" i="61"/>
  <c r="J120" i="61"/>
  <c r="U119" i="61"/>
  <c r="J119" i="61"/>
  <c r="U118" i="61"/>
  <c r="J118" i="61"/>
  <c r="U117" i="61"/>
  <c r="J117" i="61"/>
  <c r="U116" i="61"/>
  <c r="J116" i="61"/>
  <c r="U115" i="61"/>
  <c r="J115" i="61"/>
  <c r="U114" i="61"/>
  <c r="J114" i="61"/>
  <c r="U113" i="61"/>
  <c r="J113" i="61"/>
  <c r="U112" i="61"/>
  <c r="J112" i="61"/>
  <c r="U111" i="61"/>
  <c r="J111" i="61"/>
  <c r="U110" i="61"/>
  <c r="J110" i="61"/>
  <c r="U109" i="61"/>
  <c r="J109" i="61"/>
  <c r="U108" i="61"/>
  <c r="J108" i="61"/>
  <c r="U107" i="61"/>
  <c r="J107" i="61"/>
  <c r="U106" i="61"/>
  <c r="J106" i="61"/>
  <c r="U105" i="61"/>
  <c r="J105" i="61"/>
  <c r="U104" i="61"/>
  <c r="J104" i="61"/>
  <c r="U103" i="61"/>
  <c r="J103" i="61"/>
  <c r="U102" i="61"/>
  <c r="J102" i="61"/>
  <c r="U101" i="61"/>
  <c r="J101" i="61"/>
  <c r="U100" i="61"/>
  <c r="J100" i="61"/>
  <c r="U99" i="61"/>
  <c r="J99" i="61"/>
  <c r="U98" i="61"/>
  <c r="J98" i="61"/>
  <c r="U97" i="61"/>
  <c r="J97" i="61"/>
  <c r="U96" i="61"/>
  <c r="J96" i="61"/>
  <c r="U95" i="61"/>
  <c r="J95" i="61"/>
  <c r="U94" i="61"/>
  <c r="J94" i="61"/>
  <c r="U93" i="61"/>
  <c r="J93" i="61"/>
  <c r="U92" i="61"/>
  <c r="J92" i="61"/>
  <c r="U91" i="61"/>
  <c r="J91" i="61"/>
  <c r="U90" i="61"/>
  <c r="J90" i="61"/>
  <c r="U89" i="61"/>
  <c r="J89" i="61"/>
  <c r="U88" i="61"/>
  <c r="J88" i="61"/>
  <c r="U87" i="61"/>
  <c r="J87" i="61"/>
  <c r="U86" i="61"/>
  <c r="J86" i="61"/>
  <c r="U85" i="61"/>
  <c r="J85" i="61"/>
  <c r="U84" i="61"/>
  <c r="J84" i="61"/>
  <c r="U83" i="61"/>
  <c r="J83" i="61"/>
  <c r="U82" i="61"/>
  <c r="J82" i="61"/>
  <c r="U81" i="61"/>
  <c r="J81" i="61"/>
  <c r="U80" i="61"/>
  <c r="J80" i="61"/>
  <c r="U79" i="61"/>
  <c r="J79" i="61"/>
  <c r="U78" i="61"/>
  <c r="J78" i="61"/>
  <c r="U77" i="61"/>
  <c r="J77" i="61"/>
  <c r="U76" i="61"/>
  <c r="J76" i="61"/>
  <c r="U75" i="61"/>
  <c r="J75" i="61"/>
  <c r="U74" i="61"/>
  <c r="J74" i="61"/>
  <c r="U73" i="61"/>
  <c r="J73" i="61"/>
  <c r="U72" i="61"/>
  <c r="J72" i="61"/>
  <c r="U71" i="61"/>
  <c r="J71" i="61"/>
  <c r="U70" i="61"/>
  <c r="J70" i="61"/>
  <c r="U69" i="61"/>
  <c r="J69" i="61"/>
  <c r="U68" i="61"/>
  <c r="J68" i="61"/>
  <c r="U67" i="61"/>
  <c r="J67" i="61"/>
  <c r="U66" i="61"/>
  <c r="J66" i="61"/>
  <c r="U65" i="61"/>
  <c r="J65" i="61"/>
  <c r="U64" i="61"/>
  <c r="J64" i="61"/>
  <c r="U63" i="61"/>
  <c r="J63" i="61"/>
  <c r="U62" i="61"/>
  <c r="J62" i="61"/>
  <c r="U61" i="61"/>
  <c r="J61" i="61"/>
  <c r="U60" i="61"/>
  <c r="J60" i="61"/>
  <c r="U59" i="61"/>
  <c r="J59" i="61"/>
  <c r="U58" i="61"/>
  <c r="J58" i="61"/>
  <c r="U57" i="61"/>
  <c r="J57" i="61"/>
  <c r="U56" i="61"/>
  <c r="J56" i="61"/>
  <c r="U55" i="61"/>
  <c r="J55" i="61"/>
  <c r="U54" i="61"/>
  <c r="J54" i="61"/>
  <c r="U53" i="61"/>
  <c r="J53" i="61"/>
  <c r="U52" i="61"/>
  <c r="J52" i="61"/>
  <c r="U51" i="61"/>
  <c r="J51" i="61"/>
  <c r="U50" i="61"/>
  <c r="J50" i="61"/>
  <c r="U49" i="61"/>
  <c r="J49" i="61"/>
  <c r="U48" i="61"/>
  <c r="J48" i="61"/>
  <c r="U47" i="61"/>
  <c r="J47" i="61"/>
  <c r="U46" i="61"/>
  <c r="J46" i="61"/>
  <c r="U45" i="61"/>
  <c r="J45" i="61"/>
  <c r="U44" i="61"/>
  <c r="J44" i="61"/>
  <c r="U43" i="61"/>
  <c r="J43" i="61"/>
  <c r="U42" i="61"/>
  <c r="J42" i="61"/>
  <c r="U41" i="61"/>
  <c r="J41" i="61"/>
  <c r="U40" i="61"/>
  <c r="J40" i="61"/>
  <c r="U39" i="61"/>
  <c r="J39" i="61"/>
  <c r="U38" i="61"/>
  <c r="J38" i="61"/>
  <c r="U37" i="61"/>
  <c r="J37" i="61"/>
  <c r="U36" i="61"/>
  <c r="J36" i="61"/>
  <c r="U35" i="61"/>
  <c r="J35" i="61"/>
  <c r="U34" i="61"/>
  <c r="J34" i="61"/>
  <c r="U33" i="61"/>
  <c r="J33" i="61"/>
  <c r="U32" i="61"/>
  <c r="J32" i="61"/>
  <c r="U31" i="61"/>
  <c r="J31" i="61"/>
  <c r="U30" i="61"/>
  <c r="J30" i="61"/>
  <c r="U29" i="61"/>
  <c r="J29" i="61"/>
  <c r="U28" i="61"/>
  <c r="J28" i="61"/>
  <c r="U27" i="61"/>
  <c r="J27" i="61"/>
  <c r="U26" i="61"/>
  <c r="J26" i="61"/>
  <c r="U25" i="61"/>
  <c r="J25" i="61"/>
  <c r="U24" i="61"/>
  <c r="J24" i="61"/>
  <c r="U23" i="61"/>
  <c r="J23" i="61"/>
  <c r="U22" i="61"/>
  <c r="J22" i="61"/>
  <c r="U21" i="61"/>
  <c r="J21" i="61"/>
  <c r="U6" i="61" s="1"/>
  <c r="G12" i="71" s="1"/>
  <c r="U8" i="61"/>
  <c r="N8" i="61"/>
  <c r="N4" i="61"/>
  <c r="F4" i="61"/>
  <c r="J220" i="60"/>
  <c r="J219" i="60"/>
  <c r="J218" i="60"/>
  <c r="J217" i="60"/>
  <c r="J216" i="60"/>
  <c r="J215" i="60"/>
  <c r="J214" i="60"/>
  <c r="J213" i="60"/>
  <c r="J212" i="60"/>
  <c r="J211" i="60"/>
  <c r="J210" i="60"/>
  <c r="J209" i="60"/>
  <c r="J208" i="60"/>
  <c r="J207" i="60"/>
  <c r="J206" i="60"/>
  <c r="J205" i="60"/>
  <c r="J204" i="60"/>
  <c r="J203" i="60"/>
  <c r="J202" i="60"/>
  <c r="J201" i="60"/>
  <c r="J200" i="60"/>
  <c r="J199" i="60"/>
  <c r="J198" i="60"/>
  <c r="J197" i="60"/>
  <c r="J196" i="60"/>
  <c r="J195" i="60"/>
  <c r="J194" i="60"/>
  <c r="J193" i="60"/>
  <c r="J192" i="60"/>
  <c r="J191" i="60"/>
  <c r="J190" i="60"/>
  <c r="J189" i="60"/>
  <c r="J188" i="60"/>
  <c r="J187" i="60"/>
  <c r="J186" i="60"/>
  <c r="J185" i="60"/>
  <c r="J184" i="60"/>
  <c r="J183" i="60"/>
  <c r="J182" i="60"/>
  <c r="J181" i="60"/>
  <c r="J180" i="60"/>
  <c r="J179" i="60"/>
  <c r="J178" i="60"/>
  <c r="J177" i="60"/>
  <c r="J176" i="60"/>
  <c r="J175" i="60"/>
  <c r="J174" i="60"/>
  <c r="J173" i="60"/>
  <c r="J172" i="60"/>
  <c r="J171" i="60"/>
  <c r="U170" i="60"/>
  <c r="J170" i="60"/>
  <c r="U169" i="60"/>
  <c r="J169" i="60"/>
  <c r="U168" i="60"/>
  <c r="J168" i="60"/>
  <c r="U167" i="60"/>
  <c r="J167" i="60"/>
  <c r="U166" i="60"/>
  <c r="J166" i="60"/>
  <c r="U165" i="60"/>
  <c r="J165" i="60"/>
  <c r="U164" i="60"/>
  <c r="J164" i="60"/>
  <c r="U163" i="60"/>
  <c r="J163" i="60"/>
  <c r="U162" i="60"/>
  <c r="J162" i="60"/>
  <c r="U161" i="60"/>
  <c r="J161" i="60"/>
  <c r="U160" i="60"/>
  <c r="J160" i="60"/>
  <c r="U159" i="60"/>
  <c r="J159" i="60"/>
  <c r="U158" i="60"/>
  <c r="J158" i="60"/>
  <c r="U157" i="60"/>
  <c r="J157" i="60"/>
  <c r="U156" i="60"/>
  <c r="J156" i="60"/>
  <c r="U155" i="60"/>
  <c r="J155" i="60"/>
  <c r="U154" i="60"/>
  <c r="J154" i="60"/>
  <c r="U153" i="60"/>
  <c r="J153" i="60"/>
  <c r="U152" i="60"/>
  <c r="J152" i="60"/>
  <c r="U151" i="60"/>
  <c r="J151" i="60"/>
  <c r="U150" i="60"/>
  <c r="J150" i="60"/>
  <c r="U149" i="60"/>
  <c r="J149" i="60"/>
  <c r="U148" i="60"/>
  <c r="J148" i="60"/>
  <c r="U147" i="60"/>
  <c r="J147" i="60"/>
  <c r="U146" i="60"/>
  <c r="J146" i="60"/>
  <c r="U145" i="60"/>
  <c r="J145" i="60"/>
  <c r="U144" i="60"/>
  <c r="J144" i="60"/>
  <c r="U143" i="60"/>
  <c r="J143" i="60"/>
  <c r="U142" i="60"/>
  <c r="J142" i="60"/>
  <c r="U141" i="60"/>
  <c r="J141" i="60"/>
  <c r="U140" i="60"/>
  <c r="J140" i="60"/>
  <c r="U139" i="60"/>
  <c r="J139" i="60"/>
  <c r="U138" i="60"/>
  <c r="J138" i="60"/>
  <c r="U137" i="60"/>
  <c r="J137" i="60"/>
  <c r="U136" i="60"/>
  <c r="J136" i="60"/>
  <c r="U135" i="60"/>
  <c r="J135" i="60"/>
  <c r="U134" i="60"/>
  <c r="J134" i="60"/>
  <c r="U133" i="60"/>
  <c r="J133" i="60"/>
  <c r="U132" i="60"/>
  <c r="J132" i="60"/>
  <c r="U131" i="60"/>
  <c r="J131" i="60"/>
  <c r="U130" i="60"/>
  <c r="J130" i="60"/>
  <c r="U129" i="60"/>
  <c r="J129" i="60"/>
  <c r="U128" i="60"/>
  <c r="J128" i="60"/>
  <c r="U127" i="60"/>
  <c r="J127" i="60"/>
  <c r="U126" i="60"/>
  <c r="J126" i="60"/>
  <c r="U125" i="60"/>
  <c r="J125" i="60"/>
  <c r="U124" i="60"/>
  <c r="J124" i="60"/>
  <c r="U123" i="60"/>
  <c r="J123" i="60"/>
  <c r="U122" i="60"/>
  <c r="J122" i="60"/>
  <c r="U121" i="60"/>
  <c r="J121" i="60"/>
  <c r="U120" i="60"/>
  <c r="J120" i="60"/>
  <c r="U119" i="60"/>
  <c r="J119" i="60"/>
  <c r="U118" i="60"/>
  <c r="J118" i="60"/>
  <c r="U117" i="60"/>
  <c r="J117" i="60"/>
  <c r="U116" i="60"/>
  <c r="J116" i="60"/>
  <c r="U115" i="60"/>
  <c r="J115" i="60"/>
  <c r="U114" i="60"/>
  <c r="J114" i="60"/>
  <c r="U113" i="60"/>
  <c r="J113" i="60"/>
  <c r="U112" i="60"/>
  <c r="J112" i="60"/>
  <c r="U111" i="60"/>
  <c r="J111" i="60"/>
  <c r="U110" i="60"/>
  <c r="J110" i="60"/>
  <c r="U109" i="60"/>
  <c r="J109" i="60"/>
  <c r="U108" i="60"/>
  <c r="J108" i="60"/>
  <c r="U107" i="60"/>
  <c r="J107" i="60"/>
  <c r="U106" i="60"/>
  <c r="J106" i="60"/>
  <c r="U105" i="60"/>
  <c r="J105" i="60"/>
  <c r="U104" i="60"/>
  <c r="J104" i="60"/>
  <c r="U103" i="60"/>
  <c r="J103" i="60"/>
  <c r="U102" i="60"/>
  <c r="J102" i="60"/>
  <c r="U101" i="60"/>
  <c r="J101" i="60"/>
  <c r="U100" i="60"/>
  <c r="J100" i="60"/>
  <c r="U99" i="60"/>
  <c r="J99" i="60"/>
  <c r="U98" i="60"/>
  <c r="J98" i="60"/>
  <c r="U97" i="60"/>
  <c r="J97" i="60"/>
  <c r="U96" i="60"/>
  <c r="J96" i="60"/>
  <c r="U95" i="60"/>
  <c r="J95" i="60"/>
  <c r="U94" i="60"/>
  <c r="J94" i="60"/>
  <c r="U93" i="60"/>
  <c r="J93" i="60"/>
  <c r="U92" i="60"/>
  <c r="J92" i="60"/>
  <c r="U91" i="60"/>
  <c r="J91" i="60"/>
  <c r="U90" i="60"/>
  <c r="J90" i="60"/>
  <c r="U89" i="60"/>
  <c r="J89" i="60"/>
  <c r="U88" i="60"/>
  <c r="J88" i="60"/>
  <c r="U87" i="60"/>
  <c r="J87" i="60"/>
  <c r="U86" i="60"/>
  <c r="J86" i="60"/>
  <c r="U85" i="60"/>
  <c r="J85" i="60"/>
  <c r="U84" i="60"/>
  <c r="J84" i="60"/>
  <c r="U83" i="60"/>
  <c r="J83" i="60"/>
  <c r="U82" i="60"/>
  <c r="J82" i="60"/>
  <c r="U81" i="60"/>
  <c r="J81" i="60"/>
  <c r="U80" i="60"/>
  <c r="J80" i="60"/>
  <c r="U79" i="60"/>
  <c r="J79" i="60"/>
  <c r="U78" i="60"/>
  <c r="J78" i="60"/>
  <c r="U77" i="60"/>
  <c r="J77" i="60"/>
  <c r="U76" i="60"/>
  <c r="J76" i="60"/>
  <c r="U75" i="60"/>
  <c r="J75" i="60"/>
  <c r="U74" i="60"/>
  <c r="J74" i="60"/>
  <c r="U73" i="60"/>
  <c r="J73" i="60"/>
  <c r="U72" i="60"/>
  <c r="J72" i="60"/>
  <c r="U71" i="60"/>
  <c r="J71" i="60"/>
  <c r="U70" i="60"/>
  <c r="J70" i="60"/>
  <c r="U69" i="60"/>
  <c r="J69" i="60"/>
  <c r="U68" i="60"/>
  <c r="J68" i="60"/>
  <c r="U67" i="60"/>
  <c r="J67" i="60"/>
  <c r="U66" i="60"/>
  <c r="J66" i="60"/>
  <c r="U65" i="60"/>
  <c r="J65" i="60"/>
  <c r="U64" i="60"/>
  <c r="J64" i="60"/>
  <c r="U63" i="60"/>
  <c r="J63" i="60"/>
  <c r="U62" i="60"/>
  <c r="J62" i="60"/>
  <c r="U61" i="60"/>
  <c r="J61" i="60"/>
  <c r="U60" i="60"/>
  <c r="J60" i="60"/>
  <c r="U59" i="60"/>
  <c r="J59" i="60"/>
  <c r="U58" i="60"/>
  <c r="J58" i="60"/>
  <c r="U57" i="60"/>
  <c r="J57" i="60"/>
  <c r="U56" i="60"/>
  <c r="J56" i="60"/>
  <c r="U55" i="60"/>
  <c r="J55" i="60"/>
  <c r="U54" i="60"/>
  <c r="J54" i="60"/>
  <c r="U53" i="60"/>
  <c r="J53" i="60"/>
  <c r="U52" i="60"/>
  <c r="J52" i="60"/>
  <c r="U51" i="60"/>
  <c r="J51" i="60"/>
  <c r="U50" i="60"/>
  <c r="J50" i="60"/>
  <c r="U49" i="60"/>
  <c r="J49" i="60"/>
  <c r="U48" i="60"/>
  <c r="J48" i="60"/>
  <c r="U47" i="60"/>
  <c r="J47" i="60"/>
  <c r="U46" i="60"/>
  <c r="J46" i="60"/>
  <c r="U45" i="60"/>
  <c r="J45" i="60"/>
  <c r="U44" i="60"/>
  <c r="J44" i="60"/>
  <c r="U43" i="60"/>
  <c r="J43" i="60"/>
  <c r="U42" i="60"/>
  <c r="J42" i="60"/>
  <c r="U41" i="60"/>
  <c r="J41" i="60"/>
  <c r="U40" i="60"/>
  <c r="J40" i="60"/>
  <c r="U39" i="60"/>
  <c r="J39" i="60"/>
  <c r="U38" i="60"/>
  <c r="J38" i="60"/>
  <c r="U37" i="60"/>
  <c r="J37" i="60"/>
  <c r="U36" i="60"/>
  <c r="J36" i="60"/>
  <c r="U35" i="60"/>
  <c r="J35" i="60"/>
  <c r="U34" i="60"/>
  <c r="J34" i="60"/>
  <c r="U33" i="60"/>
  <c r="J33" i="60"/>
  <c r="U32" i="60"/>
  <c r="J32" i="60"/>
  <c r="U31" i="60"/>
  <c r="J31" i="60"/>
  <c r="U30" i="60"/>
  <c r="J30" i="60"/>
  <c r="U29" i="60"/>
  <c r="J29" i="60"/>
  <c r="U28" i="60"/>
  <c r="J28" i="60"/>
  <c r="U27" i="60"/>
  <c r="J27" i="60"/>
  <c r="U26" i="60"/>
  <c r="J26" i="60"/>
  <c r="U25" i="60"/>
  <c r="J25" i="60"/>
  <c r="U24" i="60"/>
  <c r="J24" i="60"/>
  <c r="U23" i="60"/>
  <c r="J23" i="60"/>
  <c r="U22" i="60"/>
  <c r="J22" i="60"/>
  <c r="U21" i="60"/>
  <c r="J21" i="60"/>
  <c r="U6" i="60" s="1"/>
  <c r="G13" i="71" s="1"/>
  <c r="U8" i="60"/>
  <c r="N8" i="60"/>
  <c r="N4" i="60"/>
  <c r="F4" i="60"/>
  <c r="J220" i="59"/>
  <c r="J219" i="59"/>
  <c r="J218" i="59"/>
  <c r="J217" i="59"/>
  <c r="J216" i="59"/>
  <c r="J215" i="59"/>
  <c r="J214" i="59"/>
  <c r="J213" i="59"/>
  <c r="J212" i="59"/>
  <c r="J211" i="59"/>
  <c r="J210" i="59"/>
  <c r="J209" i="59"/>
  <c r="J208" i="59"/>
  <c r="J207" i="59"/>
  <c r="J206" i="59"/>
  <c r="J205" i="59"/>
  <c r="J204" i="59"/>
  <c r="J203" i="59"/>
  <c r="J202" i="59"/>
  <c r="J201" i="59"/>
  <c r="J200" i="59"/>
  <c r="J199" i="59"/>
  <c r="J198" i="59"/>
  <c r="J197" i="59"/>
  <c r="J196" i="59"/>
  <c r="J195" i="59"/>
  <c r="J194" i="59"/>
  <c r="J193" i="59"/>
  <c r="J192" i="59"/>
  <c r="J191" i="59"/>
  <c r="J190" i="59"/>
  <c r="J189" i="59"/>
  <c r="J188" i="59"/>
  <c r="J187" i="59"/>
  <c r="J186" i="59"/>
  <c r="J185" i="59"/>
  <c r="J184" i="59"/>
  <c r="J183" i="59"/>
  <c r="J182" i="59"/>
  <c r="J181" i="59"/>
  <c r="J180" i="59"/>
  <c r="J179" i="59"/>
  <c r="J178" i="59"/>
  <c r="J177" i="59"/>
  <c r="J176" i="59"/>
  <c r="J175" i="59"/>
  <c r="J174" i="59"/>
  <c r="J173" i="59"/>
  <c r="J172" i="59"/>
  <c r="J171" i="59"/>
  <c r="U170" i="59"/>
  <c r="J170" i="59"/>
  <c r="U169" i="59"/>
  <c r="J169" i="59"/>
  <c r="U168" i="59"/>
  <c r="J168" i="59"/>
  <c r="U167" i="59"/>
  <c r="J167" i="59"/>
  <c r="U166" i="59"/>
  <c r="J166" i="59"/>
  <c r="U165" i="59"/>
  <c r="J165" i="59"/>
  <c r="U164" i="59"/>
  <c r="J164" i="59"/>
  <c r="U163" i="59"/>
  <c r="J163" i="59"/>
  <c r="U162" i="59"/>
  <c r="J162" i="59"/>
  <c r="U161" i="59"/>
  <c r="J161" i="59"/>
  <c r="U160" i="59"/>
  <c r="J160" i="59"/>
  <c r="U159" i="59"/>
  <c r="J159" i="59"/>
  <c r="U158" i="59"/>
  <c r="J158" i="59"/>
  <c r="U157" i="59"/>
  <c r="J157" i="59"/>
  <c r="U156" i="59"/>
  <c r="J156" i="59"/>
  <c r="U155" i="59"/>
  <c r="J155" i="59"/>
  <c r="U154" i="59"/>
  <c r="J154" i="59"/>
  <c r="U153" i="59"/>
  <c r="J153" i="59"/>
  <c r="U152" i="59"/>
  <c r="J152" i="59"/>
  <c r="U151" i="59"/>
  <c r="J151" i="59"/>
  <c r="U150" i="59"/>
  <c r="J150" i="59"/>
  <c r="U149" i="59"/>
  <c r="J149" i="59"/>
  <c r="U148" i="59"/>
  <c r="J148" i="59"/>
  <c r="U147" i="59"/>
  <c r="J147" i="59"/>
  <c r="U146" i="59"/>
  <c r="J146" i="59"/>
  <c r="U145" i="59"/>
  <c r="J145" i="59"/>
  <c r="U144" i="59"/>
  <c r="J144" i="59"/>
  <c r="U143" i="59"/>
  <c r="J143" i="59"/>
  <c r="U142" i="59"/>
  <c r="J142" i="59"/>
  <c r="U141" i="59"/>
  <c r="J141" i="59"/>
  <c r="U140" i="59"/>
  <c r="J140" i="59"/>
  <c r="U139" i="59"/>
  <c r="J139" i="59"/>
  <c r="U138" i="59"/>
  <c r="J138" i="59"/>
  <c r="U137" i="59"/>
  <c r="J137" i="59"/>
  <c r="U136" i="59"/>
  <c r="J136" i="59"/>
  <c r="U135" i="59"/>
  <c r="J135" i="59"/>
  <c r="U134" i="59"/>
  <c r="J134" i="59"/>
  <c r="U133" i="59"/>
  <c r="J133" i="59"/>
  <c r="U132" i="59"/>
  <c r="J132" i="59"/>
  <c r="U131" i="59"/>
  <c r="J131" i="59"/>
  <c r="U130" i="59"/>
  <c r="J130" i="59"/>
  <c r="U129" i="59"/>
  <c r="J129" i="59"/>
  <c r="U128" i="59"/>
  <c r="J128" i="59"/>
  <c r="U127" i="59"/>
  <c r="J127" i="59"/>
  <c r="U126" i="59"/>
  <c r="J126" i="59"/>
  <c r="U125" i="59"/>
  <c r="J125" i="59"/>
  <c r="U124" i="59"/>
  <c r="J124" i="59"/>
  <c r="U123" i="59"/>
  <c r="J123" i="59"/>
  <c r="U122" i="59"/>
  <c r="J122" i="59"/>
  <c r="U121" i="59"/>
  <c r="J121" i="59"/>
  <c r="U120" i="59"/>
  <c r="J120" i="59"/>
  <c r="U119" i="59"/>
  <c r="J119" i="59"/>
  <c r="U118" i="59"/>
  <c r="J118" i="59"/>
  <c r="U117" i="59"/>
  <c r="J117" i="59"/>
  <c r="U116" i="59"/>
  <c r="J116" i="59"/>
  <c r="U115" i="59"/>
  <c r="J115" i="59"/>
  <c r="U114" i="59"/>
  <c r="J114" i="59"/>
  <c r="U113" i="59"/>
  <c r="J113" i="59"/>
  <c r="U112" i="59"/>
  <c r="J112" i="59"/>
  <c r="U111" i="59"/>
  <c r="J111" i="59"/>
  <c r="U110" i="59"/>
  <c r="J110" i="59"/>
  <c r="U109" i="59"/>
  <c r="J109" i="59"/>
  <c r="U108" i="59"/>
  <c r="J108" i="59"/>
  <c r="U107" i="59"/>
  <c r="J107" i="59"/>
  <c r="U106" i="59"/>
  <c r="J106" i="59"/>
  <c r="U105" i="59"/>
  <c r="J105" i="59"/>
  <c r="U104" i="59"/>
  <c r="J104" i="59"/>
  <c r="U103" i="59"/>
  <c r="J103" i="59"/>
  <c r="U102" i="59"/>
  <c r="J102" i="59"/>
  <c r="U101" i="59"/>
  <c r="J101" i="59"/>
  <c r="U100" i="59"/>
  <c r="J100" i="59"/>
  <c r="U99" i="59"/>
  <c r="J99" i="59"/>
  <c r="U98" i="59"/>
  <c r="J98" i="59"/>
  <c r="U97" i="59"/>
  <c r="J97" i="59"/>
  <c r="U96" i="59"/>
  <c r="J96" i="59"/>
  <c r="U95" i="59"/>
  <c r="J95" i="59"/>
  <c r="U94" i="59"/>
  <c r="J94" i="59"/>
  <c r="U93" i="59"/>
  <c r="J93" i="59"/>
  <c r="U92" i="59"/>
  <c r="J92" i="59"/>
  <c r="U91" i="59"/>
  <c r="J91" i="59"/>
  <c r="U90" i="59"/>
  <c r="J90" i="59"/>
  <c r="U89" i="59"/>
  <c r="J89" i="59"/>
  <c r="U88" i="59"/>
  <c r="J88" i="59"/>
  <c r="U87" i="59"/>
  <c r="J87" i="59"/>
  <c r="U86" i="59"/>
  <c r="J86" i="59"/>
  <c r="U85" i="59"/>
  <c r="J85" i="59"/>
  <c r="U84" i="59"/>
  <c r="J84" i="59"/>
  <c r="U83" i="59"/>
  <c r="J83" i="59"/>
  <c r="U82" i="59"/>
  <c r="J82" i="59"/>
  <c r="U81" i="59"/>
  <c r="J81" i="59"/>
  <c r="U80" i="59"/>
  <c r="J80" i="59"/>
  <c r="U79" i="59"/>
  <c r="J79" i="59"/>
  <c r="U78" i="59"/>
  <c r="J78" i="59"/>
  <c r="U77" i="59"/>
  <c r="J77" i="59"/>
  <c r="U76" i="59"/>
  <c r="J76" i="59"/>
  <c r="U75" i="59"/>
  <c r="J75" i="59"/>
  <c r="U74" i="59"/>
  <c r="J74" i="59"/>
  <c r="U73" i="59"/>
  <c r="J73" i="59"/>
  <c r="U72" i="59"/>
  <c r="J72" i="59"/>
  <c r="U71" i="59"/>
  <c r="J71" i="59"/>
  <c r="U70" i="59"/>
  <c r="J70" i="59"/>
  <c r="U69" i="59"/>
  <c r="J69" i="59"/>
  <c r="U68" i="59"/>
  <c r="J68" i="59"/>
  <c r="U67" i="59"/>
  <c r="J67" i="59"/>
  <c r="U66" i="59"/>
  <c r="J66" i="59"/>
  <c r="U65" i="59"/>
  <c r="J65" i="59"/>
  <c r="U64" i="59"/>
  <c r="J64" i="59"/>
  <c r="U63" i="59"/>
  <c r="J63" i="59"/>
  <c r="U62" i="59"/>
  <c r="J62" i="59"/>
  <c r="U61" i="59"/>
  <c r="J61" i="59"/>
  <c r="U60" i="59"/>
  <c r="J60" i="59"/>
  <c r="U59" i="59"/>
  <c r="J59" i="59"/>
  <c r="U58" i="59"/>
  <c r="J58" i="59"/>
  <c r="U57" i="59"/>
  <c r="J57" i="59"/>
  <c r="U56" i="59"/>
  <c r="J56" i="59"/>
  <c r="U55" i="59"/>
  <c r="J55" i="59"/>
  <c r="U54" i="59"/>
  <c r="J54" i="59"/>
  <c r="U53" i="59"/>
  <c r="J53" i="59"/>
  <c r="U52" i="59"/>
  <c r="J52" i="59"/>
  <c r="U51" i="59"/>
  <c r="J51" i="59"/>
  <c r="U50" i="59"/>
  <c r="J50" i="59"/>
  <c r="U49" i="59"/>
  <c r="J49" i="59"/>
  <c r="U48" i="59"/>
  <c r="J48" i="59"/>
  <c r="U47" i="59"/>
  <c r="J47" i="59"/>
  <c r="U46" i="59"/>
  <c r="J46" i="59"/>
  <c r="U45" i="59"/>
  <c r="J45" i="59"/>
  <c r="U44" i="59"/>
  <c r="J44" i="59"/>
  <c r="U43" i="59"/>
  <c r="J43" i="59"/>
  <c r="U42" i="59"/>
  <c r="J42" i="59"/>
  <c r="U41" i="59"/>
  <c r="J41" i="59"/>
  <c r="U40" i="59"/>
  <c r="J40" i="59"/>
  <c r="U39" i="59"/>
  <c r="J39" i="59"/>
  <c r="U38" i="59"/>
  <c r="J38" i="59"/>
  <c r="U37" i="59"/>
  <c r="J37" i="59"/>
  <c r="U36" i="59"/>
  <c r="J36" i="59"/>
  <c r="U35" i="59"/>
  <c r="J35" i="59"/>
  <c r="U34" i="59"/>
  <c r="J34" i="59"/>
  <c r="U33" i="59"/>
  <c r="J33" i="59"/>
  <c r="U32" i="59"/>
  <c r="J32" i="59"/>
  <c r="U31" i="59"/>
  <c r="J31" i="59"/>
  <c r="U30" i="59"/>
  <c r="J30" i="59"/>
  <c r="U29" i="59"/>
  <c r="J29" i="59"/>
  <c r="U28" i="59"/>
  <c r="J28" i="59"/>
  <c r="U27" i="59"/>
  <c r="J27" i="59"/>
  <c r="U26" i="59"/>
  <c r="J26" i="59"/>
  <c r="U25" i="59"/>
  <c r="J25" i="59"/>
  <c r="U24" i="59"/>
  <c r="J24" i="59"/>
  <c r="U23" i="59"/>
  <c r="J23" i="59"/>
  <c r="U22" i="59"/>
  <c r="J22" i="59"/>
  <c r="U21" i="59"/>
  <c r="J21" i="59"/>
  <c r="U6" i="59" s="1"/>
  <c r="G14" i="71" s="1"/>
  <c r="U8" i="59"/>
  <c r="N8" i="59"/>
  <c r="N4" i="59"/>
  <c r="F4" i="59"/>
  <c r="J220" i="58"/>
  <c r="J219" i="58"/>
  <c r="J218" i="58"/>
  <c r="J217" i="58"/>
  <c r="J216" i="58"/>
  <c r="J215" i="58"/>
  <c r="J214" i="58"/>
  <c r="J213" i="58"/>
  <c r="J212" i="58"/>
  <c r="J211" i="58"/>
  <c r="J210" i="58"/>
  <c r="J209" i="58"/>
  <c r="J208" i="58"/>
  <c r="J207" i="58"/>
  <c r="J206" i="58"/>
  <c r="J205" i="58"/>
  <c r="J204" i="58"/>
  <c r="J203" i="58"/>
  <c r="J202" i="58"/>
  <c r="J201" i="58"/>
  <c r="J200" i="58"/>
  <c r="J199" i="58"/>
  <c r="J198" i="58"/>
  <c r="J197" i="58"/>
  <c r="J196" i="58"/>
  <c r="J195" i="58"/>
  <c r="J194" i="58"/>
  <c r="J193" i="58"/>
  <c r="J192" i="58"/>
  <c r="J191" i="58"/>
  <c r="J190" i="58"/>
  <c r="J189" i="58"/>
  <c r="J188" i="58"/>
  <c r="J187" i="58"/>
  <c r="J186" i="58"/>
  <c r="J185" i="58"/>
  <c r="J184" i="58"/>
  <c r="J183" i="58"/>
  <c r="J182" i="58"/>
  <c r="J181" i="58"/>
  <c r="J180" i="58"/>
  <c r="J179" i="58"/>
  <c r="J178" i="58"/>
  <c r="J177" i="58"/>
  <c r="J176" i="58"/>
  <c r="J175" i="58"/>
  <c r="J174" i="58"/>
  <c r="J173" i="58"/>
  <c r="J172" i="58"/>
  <c r="J171" i="58"/>
  <c r="U170" i="58"/>
  <c r="J170" i="58"/>
  <c r="U169" i="58"/>
  <c r="J169" i="58"/>
  <c r="U168" i="58"/>
  <c r="J168" i="58"/>
  <c r="U167" i="58"/>
  <c r="J167" i="58"/>
  <c r="U166" i="58"/>
  <c r="J166" i="58"/>
  <c r="U165" i="58"/>
  <c r="J165" i="58"/>
  <c r="U164" i="58"/>
  <c r="J164" i="58"/>
  <c r="U163" i="58"/>
  <c r="J163" i="58"/>
  <c r="U162" i="58"/>
  <c r="J162" i="58"/>
  <c r="U161" i="58"/>
  <c r="J161" i="58"/>
  <c r="U160" i="58"/>
  <c r="J160" i="58"/>
  <c r="U159" i="58"/>
  <c r="J159" i="58"/>
  <c r="U158" i="58"/>
  <c r="J158" i="58"/>
  <c r="U157" i="58"/>
  <c r="J157" i="58"/>
  <c r="U156" i="58"/>
  <c r="J156" i="58"/>
  <c r="U155" i="58"/>
  <c r="J155" i="58"/>
  <c r="U154" i="58"/>
  <c r="J154" i="58"/>
  <c r="U153" i="58"/>
  <c r="J153" i="58"/>
  <c r="U152" i="58"/>
  <c r="J152" i="58"/>
  <c r="U151" i="58"/>
  <c r="J151" i="58"/>
  <c r="U150" i="58"/>
  <c r="J150" i="58"/>
  <c r="U149" i="58"/>
  <c r="J149" i="58"/>
  <c r="U148" i="58"/>
  <c r="J148" i="58"/>
  <c r="U147" i="58"/>
  <c r="J147" i="58"/>
  <c r="U146" i="58"/>
  <c r="J146" i="58"/>
  <c r="U145" i="58"/>
  <c r="J145" i="58"/>
  <c r="U144" i="58"/>
  <c r="J144" i="58"/>
  <c r="U143" i="58"/>
  <c r="J143" i="58"/>
  <c r="U142" i="58"/>
  <c r="J142" i="58"/>
  <c r="U141" i="58"/>
  <c r="J141" i="58"/>
  <c r="U140" i="58"/>
  <c r="J140" i="58"/>
  <c r="U139" i="58"/>
  <c r="J139" i="58"/>
  <c r="U138" i="58"/>
  <c r="J138" i="58"/>
  <c r="U137" i="58"/>
  <c r="J137" i="58"/>
  <c r="U136" i="58"/>
  <c r="J136" i="58"/>
  <c r="U135" i="58"/>
  <c r="J135" i="58"/>
  <c r="U134" i="58"/>
  <c r="J134" i="58"/>
  <c r="U133" i="58"/>
  <c r="J133" i="58"/>
  <c r="U132" i="58"/>
  <c r="J132" i="58"/>
  <c r="U131" i="58"/>
  <c r="J131" i="58"/>
  <c r="U130" i="58"/>
  <c r="J130" i="58"/>
  <c r="U129" i="58"/>
  <c r="J129" i="58"/>
  <c r="U128" i="58"/>
  <c r="J128" i="58"/>
  <c r="U127" i="58"/>
  <c r="J127" i="58"/>
  <c r="U126" i="58"/>
  <c r="J126" i="58"/>
  <c r="U125" i="58"/>
  <c r="J125" i="58"/>
  <c r="U124" i="58"/>
  <c r="J124" i="58"/>
  <c r="U123" i="58"/>
  <c r="J123" i="58"/>
  <c r="U122" i="58"/>
  <c r="J122" i="58"/>
  <c r="U121" i="58"/>
  <c r="J121" i="58"/>
  <c r="U120" i="58"/>
  <c r="J120" i="58"/>
  <c r="U119" i="58"/>
  <c r="J119" i="58"/>
  <c r="U118" i="58"/>
  <c r="J118" i="58"/>
  <c r="U117" i="58"/>
  <c r="J117" i="58"/>
  <c r="U116" i="58"/>
  <c r="J116" i="58"/>
  <c r="U115" i="58"/>
  <c r="J115" i="58"/>
  <c r="U114" i="58"/>
  <c r="J114" i="58"/>
  <c r="U113" i="58"/>
  <c r="J113" i="58"/>
  <c r="U112" i="58"/>
  <c r="J112" i="58"/>
  <c r="U111" i="58"/>
  <c r="J111" i="58"/>
  <c r="U110" i="58"/>
  <c r="J110" i="58"/>
  <c r="U109" i="58"/>
  <c r="J109" i="58"/>
  <c r="U108" i="58"/>
  <c r="J108" i="58"/>
  <c r="U107" i="58"/>
  <c r="J107" i="58"/>
  <c r="U106" i="58"/>
  <c r="J106" i="58"/>
  <c r="U105" i="58"/>
  <c r="J105" i="58"/>
  <c r="U104" i="58"/>
  <c r="J104" i="58"/>
  <c r="U103" i="58"/>
  <c r="J103" i="58"/>
  <c r="U102" i="58"/>
  <c r="J102" i="58"/>
  <c r="U101" i="58"/>
  <c r="J101" i="58"/>
  <c r="U100" i="58"/>
  <c r="J100" i="58"/>
  <c r="U99" i="58"/>
  <c r="J99" i="58"/>
  <c r="U98" i="58"/>
  <c r="J98" i="58"/>
  <c r="U97" i="58"/>
  <c r="J97" i="58"/>
  <c r="U96" i="58"/>
  <c r="J96" i="58"/>
  <c r="U95" i="58"/>
  <c r="J95" i="58"/>
  <c r="U94" i="58"/>
  <c r="J94" i="58"/>
  <c r="U93" i="58"/>
  <c r="J93" i="58"/>
  <c r="U92" i="58"/>
  <c r="J92" i="58"/>
  <c r="U91" i="58"/>
  <c r="J91" i="58"/>
  <c r="U90" i="58"/>
  <c r="J90" i="58"/>
  <c r="U89" i="58"/>
  <c r="J89" i="58"/>
  <c r="U88" i="58"/>
  <c r="J88" i="58"/>
  <c r="U87" i="58"/>
  <c r="J87" i="58"/>
  <c r="U86" i="58"/>
  <c r="J86" i="58"/>
  <c r="U85" i="58"/>
  <c r="J85" i="58"/>
  <c r="U84" i="58"/>
  <c r="J84" i="58"/>
  <c r="U83" i="58"/>
  <c r="J83" i="58"/>
  <c r="U82" i="58"/>
  <c r="J82" i="58"/>
  <c r="U81" i="58"/>
  <c r="J81" i="58"/>
  <c r="U80" i="58"/>
  <c r="J80" i="58"/>
  <c r="U79" i="58"/>
  <c r="J79" i="58"/>
  <c r="U78" i="58"/>
  <c r="J78" i="58"/>
  <c r="U77" i="58"/>
  <c r="J77" i="58"/>
  <c r="U76" i="58"/>
  <c r="J76" i="58"/>
  <c r="U75" i="58"/>
  <c r="J75" i="58"/>
  <c r="U74" i="58"/>
  <c r="J74" i="58"/>
  <c r="U73" i="58"/>
  <c r="J73" i="58"/>
  <c r="U72" i="58"/>
  <c r="J72" i="58"/>
  <c r="U71" i="58"/>
  <c r="J71" i="58"/>
  <c r="U70" i="58"/>
  <c r="J70" i="58"/>
  <c r="U69" i="58"/>
  <c r="J69" i="58"/>
  <c r="U68" i="58"/>
  <c r="J68" i="58"/>
  <c r="U67" i="58"/>
  <c r="J67" i="58"/>
  <c r="U66" i="58"/>
  <c r="J66" i="58"/>
  <c r="U65" i="58"/>
  <c r="J65" i="58"/>
  <c r="U64" i="58"/>
  <c r="J64" i="58"/>
  <c r="U63" i="58"/>
  <c r="J63" i="58"/>
  <c r="U62" i="58"/>
  <c r="J62" i="58"/>
  <c r="U61" i="58"/>
  <c r="J61" i="58"/>
  <c r="U60" i="58"/>
  <c r="J60" i="58"/>
  <c r="U59" i="58"/>
  <c r="J59" i="58"/>
  <c r="U58" i="58"/>
  <c r="J58" i="58"/>
  <c r="U57" i="58"/>
  <c r="J57" i="58"/>
  <c r="U56" i="58"/>
  <c r="J56" i="58"/>
  <c r="U55" i="58"/>
  <c r="J55" i="58"/>
  <c r="U54" i="58"/>
  <c r="J54" i="58"/>
  <c r="U53" i="58"/>
  <c r="J53" i="58"/>
  <c r="U52" i="58"/>
  <c r="J52" i="58"/>
  <c r="U51" i="58"/>
  <c r="J51" i="58"/>
  <c r="U50" i="58"/>
  <c r="J50" i="58"/>
  <c r="U49" i="58"/>
  <c r="J49" i="58"/>
  <c r="U48" i="58"/>
  <c r="J48" i="58"/>
  <c r="U47" i="58"/>
  <c r="J47" i="58"/>
  <c r="U46" i="58"/>
  <c r="J46" i="58"/>
  <c r="U45" i="58"/>
  <c r="J45" i="58"/>
  <c r="U44" i="58"/>
  <c r="J44" i="58"/>
  <c r="U43" i="58"/>
  <c r="J43" i="58"/>
  <c r="U42" i="58"/>
  <c r="J42" i="58"/>
  <c r="U41" i="58"/>
  <c r="J41" i="58"/>
  <c r="U40" i="58"/>
  <c r="J40" i="58"/>
  <c r="U39" i="58"/>
  <c r="J39" i="58"/>
  <c r="U38" i="58"/>
  <c r="J38" i="58"/>
  <c r="U37" i="58"/>
  <c r="J37" i="58"/>
  <c r="U36" i="58"/>
  <c r="J36" i="58"/>
  <c r="U35" i="58"/>
  <c r="J35" i="58"/>
  <c r="U34" i="58"/>
  <c r="J34" i="58"/>
  <c r="U33" i="58"/>
  <c r="J33" i="58"/>
  <c r="U32" i="58"/>
  <c r="J32" i="58"/>
  <c r="U31" i="58"/>
  <c r="J31" i="58"/>
  <c r="U30" i="58"/>
  <c r="J30" i="58"/>
  <c r="U29" i="58"/>
  <c r="J29" i="58"/>
  <c r="U28" i="58"/>
  <c r="J28" i="58"/>
  <c r="U27" i="58"/>
  <c r="J27" i="58"/>
  <c r="U26" i="58"/>
  <c r="J26" i="58"/>
  <c r="U25" i="58"/>
  <c r="J25" i="58"/>
  <c r="U24" i="58"/>
  <c r="J24" i="58"/>
  <c r="U23" i="58"/>
  <c r="J23" i="58"/>
  <c r="U22" i="58"/>
  <c r="J22" i="58"/>
  <c r="U21" i="58"/>
  <c r="J21" i="58"/>
  <c r="U6" i="58" s="1"/>
  <c r="G15" i="71" s="1"/>
  <c r="U8" i="58"/>
  <c r="N8" i="58"/>
  <c r="N4" i="58"/>
  <c r="F4" i="58"/>
  <c r="J220" i="57"/>
  <c r="J219" i="57"/>
  <c r="J218" i="57"/>
  <c r="J217" i="57"/>
  <c r="J216" i="57"/>
  <c r="J215" i="57"/>
  <c r="J214" i="57"/>
  <c r="J213" i="57"/>
  <c r="J212" i="57"/>
  <c r="J211" i="57"/>
  <c r="J210" i="57"/>
  <c r="J209" i="57"/>
  <c r="J208" i="57"/>
  <c r="J207" i="57"/>
  <c r="J206" i="57"/>
  <c r="J205" i="57"/>
  <c r="J204" i="57"/>
  <c r="J203" i="57"/>
  <c r="J202" i="57"/>
  <c r="J201" i="57"/>
  <c r="J200" i="57"/>
  <c r="J199" i="57"/>
  <c r="J198" i="57"/>
  <c r="J197" i="57"/>
  <c r="J196" i="57"/>
  <c r="J195" i="57"/>
  <c r="J194" i="57"/>
  <c r="J193" i="57"/>
  <c r="J192" i="57"/>
  <c r="J191" i="57"/>
  <c r="J190" i="57"/>
  <c r="J189" i="57"/>
  <c r="J188" i="57"/>
  <c r="J187" i="57"/>
  <c r="J186" i="57"/>
  <c r="J185" i="57"/>
  <c r="J184" i="57"/>
  <c r="J183" i="57"/>
  <c r="J182" i="57"/>
  <c r="J181" i="57"/>
  <c r="J180" i="57"/>
  <c r="J179" i="57"/>
  <c r="J178" i="57"/>
  <c r="J177" i="57"/>
  <c r="J176" i="57"/>
  <c r="J175" i="57"/>
  <c r="J174" i="57"/>
  <c r="J173" i="57"/>
  <c r="J172" i="57"/>
  <c r="J171" i="57"/>
  <c r="U170" i="57"/>
  <c r="J170" i="57"/>
  <c r="U169" i="57"/>
  <c r="J169" i="57"/>
  <c r="U168" i="57"/>
  <c r="J168" i="57"/>
  <c r="U167" i="57"/>
  <c r="J167" i="57"/>
  <c r="U166" i="57"/>
  <c r="J166" i="57"/>
  <c r="U165" i="57"/>
  <c r="J165" i="57"/>
  <c r="U164" i="57"/>
  <c r="J164" i="57"/>
  <c r="U163" i="57"/>
  <c r="J163" i="57"/>
  <c r="U162" i="57"/>
  <c r="J162" i="57"/>
  <c r="U161" i="57"/>
  <c r="J161" i="57"/>
  <c r="U160" i="57"/>
  <c r="J160" i="57"/>
  <c r="U159" i="57"/>
  <c r="J159" i="57"/>
  <c r="U158" i="57"/>
  <c r="J158" i="57"/>
  <c r="U157" i="57"/>
  <c r="J157" i="57"/>
  <c r="U156" i="57"/>
  <c r="J156" i="57"/>
  <c r="U155" i="57"/>
  <c r="J155" i="57"/>
  <c r="U154" i="57"/>
  <c r="J154" i="57"/>
  <c r="U153" i="57"/>
  <c r="J153" i="57"/>
  <c r="U152" i="57"/>
  <c r="J152" i="57"/>
  <c r="U151" i="57"/>
  <c r="J151" i="57"/>
  <c r="U150" i="57"/>
  <c r="J150" i="57"/>
  <c r="U149" i="57"/>
  <c r="J149" i="57"/>
  <c r="U148" i="57"/>
  <c r="J148" i="57"/>
  <c r="U147" i="57"/>
  <c r="J147" i="57"/>
  <c r="U146" i="57"/>
  <c r="J146" i="57"/>
  <c r="U145" i="57"/>
  <c r="J145" i="57"/>
  <c r="U144" i="57"/>
  <c r="J144" i="57"/>
  <c r="U143" i="57"/>
  <c r="J143" i="57"/>
  <c r="U142" i="57"/>
  <c r="J142" i="57"/>
  <c r="U141" i="57"/>
  <c r="J141" i="57"/>
  <c r="U140" i="57"/>
  <c r="J140" i="57"/>
  <c r="U139" i="57"/>
  <c r="J139" i="57"/>
  <c r="U138" i="57"/>
  <c r="J138" i="57"/>
  <c r="U137" i="57"/>
  <c r="J137" i="57"/>
  <c r="U136" i="57"/>
  <c r="J136" i="57"/>
  <c r="U135" i="57"/>
  <c r="J135" i="57"/>
  <c r="U134" i="57"/>
  <c r="J134" i="57"/>
  <c r="U133" i="57"/>
  <c r="J133" i="57"/>
  <c r="U132" i="57"/>
  <c r="J132" i="57"/>
  <c r="U131" i="57"/>
  <c r="J131" i="57"/>
  <c r="U130" i="57"/>
  <c r="J130" i="57"/>
  <c r="U129" i="57"/>
  <c r="J129" i="57"/>
  <c r="U128" i="57"/>
  <c r="J128" i="57"/>
  <c r="U127" i="57"/>
  <c r="J127" i="57"/>
  <c r="U126" i="57"/>
  <c r="J126" i="57"/>
  <c r="U125" i="57"/>
  <c r="J125" i="57"/>
  <c r="U124" i="57"/>
  <c r="J124" i="57"/>
  <c r="U123" i="57"/>
  <c r="J123" i="57"/>
  <c r="U122" i="57"/>
  <c r="J122" i="57"/>
  <c r="U121" i="57"/>
  <c r="J121" i="57"/>
  <c r="U120" i="57"/>
  <c r="J120" i="57"/>
  <c r="U119" i="57"/>
  <c r="J119" i="57"/>
  <c r="U118" i="57"/>
  <c r="J118" i="57"/>
  <c r="U117" i="57"/>
  <c r="J117" i="57"/>
  <c r="U116" i="57"/>
  <c r="J116" i="57"/>
  <c r="U115" i="57"/>
  <c r="J115" i="57"/>
  <c r="U114" i="57"/>
  <c r="J114" i="57"/>
  <c r="U113" i="57"/>
  <c r="J113" i="57"/>
  <c r="U112" i="57"/>
  <c r="J112" i="57"/>
  <c r="U111" i="57"/>
  <c r="J111" i="57"/>
  <c r="U110" i="57"/>
  <c r="J110" i="57"/>
  <c r="U109" i="57"/>
  <c r="J109" i="57"/>
  <c r="U108" i="57"/>
  <c r="J108" i="57"/>
  <c r="U107" i="57"/>
  <c r="J107" i="57"/>
  <c r="U106" i="57"/>
  <c r="J106" i="57"/>
  <c r="U105" i="57"/>
  <c r="J105" i="57"/>
  <c r="U104" i="57"/>
  <c r="J104" i="57"/>
  <c r="U103" i="57"/>
  <c r="J103" i="57"/>
  <c r="U102" i="57"/>
  <c r="J102" i="57"/>
  <c r="U101" i="57"/>
  <c r="J101" i="57"/>
  <c r="U100" i="57"/>
  <c r="J100" i="57"/>
  <c r="U99" i="57"/>
  <c r="J99" i="57"/>
  <c r="U98" i="57"/>
  <c r="J98" i="57"/>
  <c r="U97" i="57"/>
  <c r="J97" i="57"/>
  <c r="U96" i="57"/>
  <c r="J96" i="57"/>
  <c r="U95" i="57"/>
  <c r="J95" i="57"/>
  <c r="U94" i="57"/>
  <c r="J94" i="57"/>
  <c r="U93" i="57"/>
  <c r="J93" i="57"/>
  <c r="U92" i="57"/>
  <c r="J92" i="57"/>
  <c r="U91" i="57"/>
  <c r="J91" i="57"/>
  <c r="U90" i="57"/>
  <c r="J90" i="57"/>
  <c r="U89" i="57"/>
  <c r="J89" i="57"/>
  <c r="U88" i="57"/>
  <c r="J88" i="57"/>
  <c r="U87" i="57"/>
  <c r="J87" i="57"/>
  <c r="U86" i="57"/>
  <c r="J86" i="57"/>
  <c r="U85" i="57"/>
  <c r="J85" i="57"/>
  <c r="U84" i="57"/>
  <c r="J84" i="57"/>
  <c r="U83" i="57"/>
  <c r="J83" i="57"/>
  <c r="U82" i="57"/>
  <c r="J82" i="57"/>
  <c r="U81" i="57"/>
  <c r="J81" i="57"/>
  <c r="U80" i="57"/>
  <c r="J80" i="57"/>
  <c r="U79" i="57"/>
  <c r="J79" i="57"/>
  <c r="U78" i="57"/>
  <c r="J78" i="57"/>
  <c r="U77" i="57"/>
  <c r="J77" i="57"/>
  <c r="U76" i="57"/>
  <c r="J76" i="57"/>
  <c r="U75" i="57"/>
  <c r="J75" i="57"/>
  <c r="U74" i="57"/>
  <c r="J74" i="57"/>
  <c r="U73" i="57"/>
  <c r="J73" i="57"/>
  <c r="U72" i="57"/>
  <c r="J72" i="57"/>
  <c r="U71" i="57"/>
  <c r="J71" i="57"/>
  <c r="U70" i="57"/>
  <c r="J70" i="57"/>
  <c r="U69" i="57"/>
  <c r="J69" i="57"/>
  <c r="U68" i="57"/>
  <c r="J68" i="57"/>
  <c r="U67" i="57"/>
  <c r="J67" i="57"/>
  <c r="U66" i="57"/>
  <c r="J66" i="57"/>
  <c r="U65" i="57"/>
  <c r="J65" i="57"/>
  <c r="U64" i="57"/>
  <c r="J64" i="57"/>
  <c r="U63" i="57"/>
  <c r="J63" i="57"/>
  <c r="U62" i="57"/>
  <c r="J62" i="57"/>
  <c r="U61" i="57"/>
  <c r="J61" i="57"/>
  <c r="U60" i="57"/>
  <c r="J60" i="57"/>
  <c r="U59" i="57"/>
  <c r="J59" i="57"/>
  <c r="U58" i="57"/>
  <c r="J58" i="57"/>
  <c r="U57" i="57"/>
  <c r="J57" i="57"/>
  <c r="U56" i="57"/>
  <c r="J56" i="57"/>
  <c r="U55" i="57"/>
  <c r="J55" i="57"/>
  <c r="U54" i="57"/>
  <c r="J54" i="57"/>
  <c r="U53" i="57"/>
  <c r="J53" i="57"/>
  <c r="U52" i="57"/>
  <c r="J52" i="57"/>
  <c r="U51" i="57"/>
  <c r="J51" i="57"/>
  <c r="U50" i="57"/>
  <c r="J50" i="57"/>
  <c r="U49" i="57"/>
  <c r="J49" i="57"/>
  <c r="U48" i="57"/>
  <c r="J48" i="57"/>
  <c r="U47" i="57"/>
  <c r="J47" i="57"/>
  <c r="U46" i="57"/>
  <c r="J46" i="57"/>
  <c r="U45" i="57"/>
  <c r="J45" i="57"/>
  <c r="U44" i="57"/>
  <c r="J44" i="57"/>
  <c r="U43" i="57"/>
  <c r="J43" i="57"/>
  <c r="U42" i="57"/>
  <c r="J42" i="57"/>
  <c r="U41" i="57"/>
  <c r="J41" i="57"/>
  <c r="U40" i="57"/>
  <c r="J40" i="57"/>
  <c r="U39" i="57"/>
  <c r="J39" i="57"/>
  <c r="U38" i="57"/>
  <c r="J38" i="57"/>
  <c r="U37" i="57"/>
  <c r="J37" i="57"/>
  <c r="U36" i="57"/>
  <c r="J36" i="57"/>
  <c r="U35" i="57"/>
  <c r="J35" i="57"/>
  <c r="U34" i="57"/>
  <c r="J34" i="57"/>
  <c r="U33" i="57"/>
  <c r="J33" i="57"/>
  <c r="U32" i="57"/>
  <c r="J32" i="57"/>
  <c r="U31" i="57"/>
  <c r="J31" i="57"/>
  <c r="U30" i="57"/>
  <c r="J30" i="57"/>
  <c r="U29" i="57"/>
  <c r="J29" i="57"/>
  <c r="U28" i="57"/>
  <c r="J28" i="57"/>
  <c r="U27" i="57"/>
  <c r="J27" i="57"/>
  <c r="U26" i="57"/>
  <c r="J26" i="57"/>
  <c r="U25" i="57"/>
  <c r="J25" i="57"/>
  <c r="U24" i="57"/>
  <c r="J24" i="57"/>
  <c r="U23" i="57"/>
  <c r="J23" i="57"/>
  <c r="U22" i="57"/>
  <c r="J22" i="57"/>
  <c r="U21" i="57"/>
  <c r="J21" i="57"/>
  <c r="U6" i="57" s="1"/>
  <c r="G16" i="71" s="1"/>
  <c r="U8" i="57"/>
  <c r="N8" i="57"/>
  <c r="N4" i="57"/>
  <c r="F4" i="57"/>
  <c r="J220" i="56"/>
  <c r="J219" i="56"/>
  <c r="J218" i="56"/>
  <c r="J217" i="56"/>
  <c r="J216" i="56"/>
  <c r="J215" i="56"/>
  <c r="J214" i="56"/>
  <c r="J213" i="56"/>
  <c r="J212" i="56"/>
  <c r="J211" i="56"/>
  <c r="J210" i="56"/>
  <c r="J209" i="56"/>
  <c r="J208" i="56"/>
  <c r="J207" i="56"/>
  <c r="J206" i="56"/>
  <c r="J205" i="56"/>
  <c r="J204" i="56"/>
  <c r="J203" i="56"/>
  <c r="J202" i="56"/>
  <c r="J201" i="56"/>
  <c r="J200" i="56"/>
  <c r="J199" i="56"/>
  <c r="J198" i="56"/>
  <c r="J197" i="56"/>
  <c r="J196" i="56"/>
  <c r="J195" i="56"/>
  <c r="J194" i="56"/>
  <c r="J193" i="56"/>
  <c r="J192" i="56"/>
  <c r="J191" i="56"/>
  <c r="J190" i="56"/>
  <c r="J189" i="56"/>
  <c r="J188" i="56"/>
  <c r="J187" i="56"/>
  <c r="J186" i="56"/>
  <c r="J185" i="56"/>
  <c r="J184" i="56"/>
  <c r="J183" i="56"/>
  <c r="J182" i="56"/>
  <c r="J181" i="56"/>
  <c r="J180" i="56"/>
  <c r="J179" i="56"/>
  <c r="J178" i="56"/>
  <c r="J177" i="56"/>
  <c r="J176" i="56"/>
  <c r="J175" i="56"/>
  <c r="J174" i="56"/>
  <c r="J173" i="56"/>
  <c r="J172" i="56"/>
  <c r="J171" i="56"/>
  <c r="U170" i="56"/>
  <c r="J170" i="56"/>
  <c r="U169" i="56"/>
  <c r="J169" i="56"/>
  <c r="U168" i="56"/>
  <c r="J168" i="56"/>
  <c r="U167" i="56"/>
  <c r="J167" i="56"/>
  <c r="U166" i="56"/>
  <c r="J166" i="56"/>
  <c r="U165" i="56"/>
  <c r="J165" i="56"/>
  <c r="U164" i="56"/>
  <c r="J164" i="56"/>
  <c r="U163" i="56"/>
  <c r="J163" i="56"/>
  <c r="U162" i="56"/>
  <c r="J162" i="56"/>
  <c r="U161" i="56"/>
  <c r="J161" i="56"/>
  <c r="U160" i="56"/>
  <c r="J160" i="56"/>
  <c r="U159" i="56"/>
  <c r="J159" i="56"/>
  <c r="U158" i="56"/>
  <c r="J158" i="56"/>
  <c r="U157" i="56"/>
  <c r="J157" i="56"/>
  <c r="U156" i="56"/>
  <c r="J156" i="56"/>
  <c r="U155" i="56"/>
  <c r="J155" i="56"/>
  <c r="U154" i="56"/>
  <c r="J154" i="56"/>
  <c r="U153" i="56"/>
  <c r="J153" i="56"/>
  <c r="U152" i="56"/>
  <c r="J152" i="56"/>
  <c r="U151" i="56"/>
  <c r="J151" i="56"/>
  <c r="U150" i="56"/>
  <c r="J150" i="56"/>
  <c r="U149" i="56"/>
  <c r="J149" i="56"/>
  <c r="U148" i="56"/>
  <c r="J148" i="56"/>
  <c r="U147" i="56"/>
  <c r="J147" i="56"/>
  <c r="U146" i="56"/>
  <c r="J146" i="56"/>
  <c r="U145" i="56"/>
  <c r="J145" i="56"/>
  <c r="U144" i="56"/>
  <c r="J144" i="56"/>
  <c r="U143" i="56"/>
  <c r="J143" i="56"/>
  <c r="U142" i="56"/>
  <c r="J142" i="56"/>
  <c r="U141" i="56"/>
  <c r="J141" i="56"/>
  <c r="U140" i="56"/>
  <c r="J140" i="56"/>
  <c r="U139" i="56"/>
  <c r="J139" i="56"/>
  <c r="U138" i="56"/>
  <c r="J138" i="56"/>
  <c r="U137" i="56"/>
  <c r="J137" i="56"/>
  <c r="U136" i="56"/>
  <c r="J136" i="56"/>
  <c r="U135" i="56"/>
  <c r="J135" i="56"/>
  <c r="U134" i="56"/>
  <c r="J134" i="56"/>
  <c r="U133" i="56"/>
  <c r="J133" i="56"/>
  <c r="U132" i="56"/>
  <c r="J132" i="56"/>
  <c r="U131" i="56"/>
  <c r="J131" i="56"/>
  <c r="U130" i="56"/>
  <c r="J130" i="56"/>
  <c r="U129" i="56"/>
  <c r="J129" i="56"/>
  <c r="U128" i="56"/>
  <c r="J128" i="56"/>
  <c r="U127" i="56"/>
  <c r="J127" i="56"/>
  <c r="U126" i="56"/>
  <c r="J126" i="56"/>
  <c r="U125" i="56"/>
  <c r="J125" i="56"/>
  <c r="U124" i="56"/>
  <c r="J124" i="56"/>
  <c r="U123" i="56"/>
  <c r="J123" i="56"/>
  <c r="U122" i="56"/>
  <c r="J122" i="56"/>
  <c r="U121" i="56"/>
  <c r="J121" i="56"/>
  <c r="U120" i="56"/>
  <c r="J120" i="56"/>
  <c r="U119" i="56"/>
  <c r="J119" i="56"/>
  <c r="U118" i="56"/>
  <c r="J118" i="56"/>
  <c r="U117" i="56"/>
  <c r="J117" i="56"/>
  <c r="U116" i="56"/>
  <c r="J116" i="56"/>
  <c r="U115" i="56"/>
  <c r="J115" i="56"/>
  <c r="U114" i="56"/>
  <c r="J114" i="56"/>
  <c r="U113" i="56"/>
  <c r="J113" i="56"/>
  <c r="U112" i="56"/>
  <c r="J112" i="56"/>
  <c r="U111" i="56"/>
  <c r="J111" i="56"/>
  <c r="U110" i="56"/>
  <c r="J110" i="56"/>
  <c r="U109" i="56"/>
  <c r="J109" i="56"/>
  <c r="U108" i="56"/>
  <c r="J108" i="56"/>
  <c r="U107" i="56"/>
  <c r="J107" i="56"/>
  <c r="U106" i="56"/>
  <c r="J106" i="56"/>
  <c r="U105" i="56"/>
  <c r="J105" i="56"/>
  <c r="U104" i="56"/>
  <c r="J104" i="56"/>
  <c r="U103" i="56"/>
  <c r="J103" i="56"/>
  <c r="U102" i="56"/>
  <c r="J102" i="56"/>
  <c r="U101" i="56"/>
  <c r="J101" i="56"/>
  <c r="U100" i="56"/>
  <c r="J100" i="56"/>
  <c r="U99" i="56"/>
  <c r="J99" i="56"/>
  <c r="U98" i="56"/>
  <c r="J98" i="56"/>
  <c r="U97" i="56"/>
  <c r="J97" i="56"/>
  <c r="U96" i="56"/>
  <c r="J96" i="56"/>
  <c r="U95" i="56"/>
  <c r="J95" i="56"/>
  <c r="U94" i="56"/>
  <c r="J94" i="56"/>
  <c r="U93" i="56"/>
  <c r="J93" i="56"/>
  <c r="U92" i="56"/>
  <c r="J92" i="56"/>
  <c r="U91" i="56"/>
  <c r="J91" i="56"/>
  <c r="U90" i="56"/>
  <c r="J90" i="56"/>
  <c r="U89" i="56"/>
  <c r="J89" i="56"/>
  <c r="U88" i="56"/>
  <c r="J88" i="56"/>
  <c r="U87" i="56"/>
  <c r="J87" i="56"/>
  <c r="U86" i="56"/>
  <c r="J86" i="56"/>
  <c r="U85" i="56"/>
  <c r="J85" i="56"/>
  <c r="U84" i="56"/>
  <c r="J84" i="56"/>
  <c r="U83" i="56"/>
  <c r="J83" i="56"/>
  <c r="U82" i="56"/>
  <c r="J82" i="56"/>
  <c r="U81" i="56"/>
  <c r="J81" i="56"/>
  <c r="U80" i="56"/>
  <c r="J80" i="56"/>
  <c r="U79" i="56"/>
  <c r="J79" i="56"/>
  <c r="U78" i="56"/>
  <c r="J78" i="56"/>
  <c r="U77" i="56"/>
  <c r="J77" i="56"/>
  <c r="U76" i="56"/>
  <c r="J76" i="56"/>
  <c r="U75" i="56"/>
  <c r="J75" i="56"/>
  <c r="U74" i="56"/>
  <c r="J74" i="56"/>
  <c r="U73" i="56"/>
  <c r="J73" i="56"/>
  <c r="U72" i="56"/>
  <c r="J72" i="56"/>
  <c r="U71" i="56"/>
  <c r="J71" i="56"/>
  <c r="U70" i="56"/>
  <c r="J70" i="56"/>
  <c r="U69" i="56"/>
  <c r="J69" i="56"/>
  <c r="U68" i="56"/>
  <c r="J68" i="56"/>
  <c r="U67" i="56"/>
  <c r="J67" i="56"/>
  <c r="U66" i="56"/>
  <c r="J66" i="56"/>
  <c r="U65" i="56"/>
  <c r="J65" i="56"/>
  <c r="U64" i="56"/>
  <c r="J64" i="56"/>
  <c r="U63" i="56"/>
  <c r="J63" i="56"/>
  <c r="U62" i="56"/>
  <c r="J62" i="56"/>
  <c r="U61" i="56"/>
  <c r="J61" i="56"/>
  <c r="U60" i="56"/>
  <c r="J60" i="56"/>
  <c r="U59" i="56"/>
  <c r="J59" i="56"/>
  <c r="U58" i="56"/>
  <c r="J58" i="56"/>
  <c r="U57" i="56"/>
  <c r="J57" i="56"/>
  <c r="U56" i="56"/>
  <c r="J56" i="56"/>
  <c r="U55" i="56"/>
  <c r="J55" i="56"/>
  <c r="U54" i="56"/>
  <c r="J54" i="56"/>
  <c r="U53" i="56"/>
  <c r="J53" i="56"/>
  <c r="U52" i="56"/>
  <c r="J52" i="56"/>
  <c r="U51" i="56"/>
  <c r="J51" i="56"/>
  <c r="U50" i="56"/>
  <c r="J50" i="56"/>
  <c r="U49" i="56"/>
  <c r="J49" i="56"/>
  <c r="U48" i="56"/>
  <c r="J48" i="56"/>
  <c r="U47" i="56"/>
  <c r="J47" i="56"/>
  <c r="U46" i="56"/>
  <c r="J46" i="56"/>
  <c r="U45" i="56"/>
  <c r="J45" i="56"/>
  <c r="U44" i="56"/>
  <c r="J44" i="56"/>
  <c r="U43" i="56"/>
  <c r="J43" i="56"/>
  <c r="U42" i="56"/>
  <c r="J42" i="56"/>
  <c r="U41" i="56"/>
  <c r="J41" i="56"/>
  <c r="U40" i="56"/>
  <c r="J40" i="56"/>
  <c r="U39" i="56"/>
  <c r="J39" i="56"/>
  <c r="U38" i="56"/>
  <c r="J38" i="56"/>
  <c r="U37" i="56"/>
  <c r="J37" i="56"/>
  <c r="U36" i="56"/>
  <c r="J36" i="56"/>
  <c r="U35" i="56"/>
  <c r="J35" i="56"/>
  <c r="U34" i="56"/>
  <c r="J34" i="56"/>
  <c r="U33" i="56"/>
  <c r="J33" i="56"/>
  <c r="U32" i="56"/>
  <c r="J32" i="56"/>
  <c r="U31" i="56"/>
  <c r="J31" i="56"/>
  <c r="U30" i="56"/>
  <c r="J30" i="56"/>
  <c r="U29" i="56"/>
  <c r="J29" i="56"/>
  <c r="U28" i="56"/>
  <c r="J28" i="56"/>
  <c r="U27" i="56"/>
  <c r="J27" i="56"/>
  <c r="U26" i="56"/>
  <c r="J26" i="56"/>
  <c r="U25" i="56"/>
  <c r="J25" i="56"/>
  <c r="U24" i="56"/>
  <c r="J24" i="56"/>
  <c r="U23" i="56"/>
  <c r="J23" i="56"/>
  <c r="U22" i="56"/>
  <c r="J22" i="56"/>
  <c r="U21" i="56"/>
  <c r="J21" i="56"/>
  <c r="U6" i="56" s="1"/>
  <c r="G17" i="71" s="1"/>
  <c r="U8" i="56"/>
  <c r="N8" i="56"/>
  <c r="N4" i="56"/>
  <c r="F4" i="56"/>
  <c r="J220" i="55"/>
  <c r="J219" i="55"/>
  <c r="J218" i="55"/>
  <c r="J217" i="55"/>
  <c r="J216" i="55"/>
  <c r="J215" i="55"/>
  <c r="J214" i="55"/>
  <c r="J213" i="55"/>
  <c r="J212" i="55"/>
  <c r="J211" i="55"/>
  <c r="J210" i="55"/>
  <c r="J209" i="55"/>
  <c r="J208" i="55"/>
  <c r="J207" i="55"/>
  <c r="J206" i="55"/>
  <c r="J205" i="55"/>
  <c r="J204" i="55"/>
  <c r="J203" i="55"/>
  <c r="J202" i="55"/>
  <c r="J201" i="55"/>
  <c r="J200" i="55"/>
  <c r="J199" i="55"/>
  <c r="J198" i="55"/>
  <c r="J197" i="55"/>
  <c r="J196" i="55"/>
  <c r="J195" i="55"/>
  <c r="J194" i="55"/>
  <c r="J193" i="55"/>
  <c r="J192" i="55"/>
  <c r="J191" i="55"/>
  <c r="J190" i="55"/>
  <c r="J189" i="55"/>
  <c r="J188" i="55"/>
  <c r="J187" i="55"/>
  <c r="J186" i="55"/>
  <c r="J185" i="55"/>
  <c r="J184" i="55"/>
  <c r="J183" i="55"/>
  <c r="J182" i="55"/>
  <c r="J181" i="55"/>
  <c r="J180" i="55"/>
  <c r="J179" i="55"/>
  <c r="J178" i="55"/>
  <c r="J177" i="55"/>
  <c r="J176" i="55"/>
  <c r="J175" i="55"/>
  <c r="J174" i="55"/>
  <c r="J173" i="55"/>
  <c r="J172" i="55"/>
  <c r="J171" i="55"/>
  <c r="U170" i="55"/>
  <c r="J170" i="55"/>
  <c r="U169" i="55"/>
  <c r="J169" i="55"/>
  <c r="U168" i="55"/>
  <c r="J168" i="55"/>
  <c r="U167" i="55"/>
  <c r="J167" i="55"/>
  <c r="U166" i="55"/>
  <c r="J166" i="55"/>
  <c r="U165" i="55"/>
  <c r="J165" i="55"/>
  <c r="U164" i="55"/>
  <c r="J164" i="55"/>
  <c r="U163" i="55"/>
  <c r="J163" i="55"/>
  <c r="U162" i="55"/>
  <c r="J162" i="55"/>
  <c r="U161" i="55"/>
  <c r="J161" i="55"/>
  <c r="U160" i="55"/>
  <c r="J160" i="55"/>
  <c r="U159" i="55"/>
  <c r="J159" i="55"/>
  <c r="U158" i="55"/>
  <c r="J158" i="55"/>
  <c r="U157" i="55"/>
  <c r="J157" i="55"/>
  <c r="U156" i="55"/>
  <c r="J156" i="55"/>
  <c r="U155" i="55"/>
  <c r="J155" i="55"/>
  <c r="U154" i="55"/>
  <c r="J154" i="55"/>
  <c r="U153" i="55"/>
  <c r="J153" i="55"/>
  <c r="U152" i="55"/>
  <c r="J152" i="55"/>
  <c r="U151" i="55"/>
  <c r="J151" i="55"/>
  <c r="U150" i="55"/>
  <c r="J150" i="55"/>
  <c r="U149" i="55"/>
  <c r="J149" i="55"/>
  <c r="U148" i="55"/>
  <c r="J148" i="55"/>
  <c r="U147" i="55"/>
  <c r="J147" i="55"/>
  <c r="U146" i="55"/>
  <c r="J146" i="55"/>
  <c r="U145" i="55"/>
  <c r="J145" i="55"/>
  <c r="U144" i="55"/>
  <c r="J144" i="55"/>
  <c r="U143" i="55"/>
  <c r="J143" i="55"/>
  <c r="U142" i="55"/>
  <c r="J142" i="55"/>
  <c r="U141" i="55"/>
  <c r="J141" i="55"/>
  <c r="U140" i="55"/>
  <c r="J140" i="55"/>
  <c r="U139" i="55"/>
  <c r="J139" i="55"/>
  <c r="U138" i="55"/>
  <c r="J138" i="55"/>
  <c r="U137" i="55"/>
  <c r="J137" i="55"/>
  <c r="U136" i="55"/>
  <c r="J136" i="55"/>
  <c r="U135" i="55"/>
  <c r="J135" i="55"/>
  <c r="U134" i="55"/>
  <c r="J134" i="55"/>
  <c r="U133" i="55"/>
  <c r="J133" i="55"/>
  <c r="U132" i="55"/>
  <c r="J132" i="55"/>
  <c r="U131" i="55"/>
  <c r="J131" i="55"/>
  <c r="U130" i="55"/>
  <c r="J130" i="55"/>
  <c r="U129" i="55"/>
  <c r="J129" i="55"/>
  <c r="U128" i="55"/>
  <c r="J128" i="55"/>
  <c r="U127" i="55"/>
  <c r="J127" i="55"/>
  <c r="U126" i="55"/>
  <c r="J126" i="55"/>
  <c r="U125" i="55"/>
  <c r="J125" i="55"/>
  <c r="U124" i="55"/>
  <c r="J124" i="55"/>
  <c r="U123" i="55"/>
  <c r="J123" i="55"/>
  <c r="U122" i="55"/>
  <c r="J122" i="55"/>
  <c r="U121" i="55"/>
  <c r="J121" i="55"/>
  <c r="U120" i="55"/>
  <c r="J120" i="55"/>
  <c r="U119" i="55"/>
  <c r="J119" i="55"/>
  <c r="U118" i="55"/>
  <c r="J118" i="55"/>
  <c r="U117" i="55"/>
  <c r="J117" i="55"/>
  <c r="U116" i="55"/>
  <c r="J116" i="55"/>
  <c r="U115" i="55"/>
  <c r="J115" i="55"/>
  <c r="U114" i="55"/>
  <c r="J114" i="55"/>
  <c r="U113" i="55"/>
  <c r="J113" i="55"/>
  <c r="U112" i="55"/>
  <c r="J112" i="55"/>
  <c r="U111" i="55"/>
  <c r="J111" i="55"/>
  <c r="U110" i="55"/>
  <c r="J110" i="55"/>
  <c r="U109" i="55"/>
  <c r="J109" i="55"/>
  <c r="U108" i="55"/>
  <c r="J108" i="55"/>
  <c r="U107" i="55"/>
  <c r="J107" i="55"/>
  <c r="U106" i="55"/>
  <c r="J106" i="55"/>
  <c r="U105" i="55"/>
  <c r="J105" i="55"/>
  <c r="U104" i="55"/>
  <c r="J104" i="55"/>
  <c r="U103" i="55"/>
  <c r="J103" i="55"/>
  <c r="U102" i="55"/>
  <c r="J102" i="55"/>
  <c r="U101" i="55"/>
  <c r="J101" i="55"/>
  <c r="U100" i="55"/>
  <c r="J100" i="55"/>
  <c r="U99" i="55"/>
  <c r="J99" i="55"/>
  <c r="U98" i="55"/>
  <c r="J98" i="55"/>
  <c r="U97" i="55"/>
  <c r="J97" i="55"/>
  <c r="U96" i="55"/>
  <c r="J96" i="55"/>
  <c r="U95" i="55"/>
  <c r="J95" i="55"/>
  <c r="U94" i="55"/>
  <c r="J94" i="55"/>
  <c r="U93" i="55"/>
  <c r="J93" i="55"/>
  <c r="U92" i="55"/>
  <c r="J92" i="55"/>
  <c r="U91" i="55"/>
  <c r="J91" i="55"/>
  <c r="U90" i="55"/>
  <c r="J90" i="55"/>
  <c r="U89" i="55"/>
  <c r="J89" i="55"/>
  <c r="U88" i="55"/>
  <c r="J88" i="55"/>
  <c r="U87" i="55"/>
  <c r="J87" i="55"/>
  <c r="U86" i="55"/>
  <c r="J86" i="55"/>
  <c r="U85" i="55"/>
  <c r="J85" i="55"/>
  <c r="U84" i="55"/>
  <c r="J84" i="55"/>
  <c r="U83" i="55"/>
  <c r="J83" i="55"/>
  <c r="U82" i="55"/>
  <c r="J82" i="55"/>
  <c r="U81" i="55"/>
  <c r="J81" i="55"/>
  <c r="U80" i="55"/>
  <c r="J80" i="55"/>
  <c r="U79" i="55"/>
  <c r="J79" i="55"/>
  <c r="U78" i="55"/>
  <c r="J78" i="55"/>
  <c r="U77" i="55"/>
  <c r="J77" i="55"/>
  <c r="U76" i="55"/>
  <c r="J76" i="55"/>
  <c r="U75" i="55"/>
  <c r="J75" i="55"/>
  <c r="U74" i="55"/>
  <c r="J74" i="55"/>
  <c r="U73" i="55"/>
  <c r="J73" i="55"/>
  <c r="U72" i="55"/>
  <c r="J72" i="55"/>
  <c r="U71" i="55"/>
  <c r="J71" i="55"/>
  <c r="U70" i="55"/>
  <c r="J70" i="55"/>
  <c r="U69" i="55"/>
  <c r="J69" i="55"/>
  <c r="U68" i="55"/>
  <c r="J68" i="55"/>
  <c r="U67" i="55"/>
  <c r="J67" i="55"/>
  <c r="U66" i="55"/>
  <c r="J66" i="55"/>
  <c r="U65" i="55"/>
  <c r="J65" i="55"/>
  <c r="U64" i="55"/>
  <c r="J64" i="55"/>
  <c r="U63" i="55"/>
  <c r="J63" i="55"/>
  <c r="U62" i="55"/>
  <c r="J62" i="55"/>
  <c r="U61" i="55"/>
  <c r="J61" i="55"/>
  <c r="U60" i="55"/>
  <c r="J60" i="55"/>
  <c r="U59" i="55"/>
  <c r="J59" i="55"/>
  <c r="U58" i="55"/>
  <c r="J58" i="55"/>
  <c r="U57" i="55"/>
  <c r="J57" i="55"/>
  <c r="U56" i="55"/>
  <c r="J56" i="55"/>
  <c r="U55" i="55"/>
  <c r="J55" i="55"/>
  <c r="U54" i="55"/>
  <c r="J54" i="55"/>
  <c r="U53" i="55"/>
  <c r="J53" i="55"/>
  <c r="U52" i="55"/>
  <c r="J52" i="55"/>
  <c r="U51" i="55"/>
  <c r="J51" i="55"/>
  <c r="U50" i="55"/>
  <c r="J50" i="55"/>
  <c r="U49" i="55"/>
  <c r="J49" i="55"/>
  <c r="U48" i="55"/>
  <c r="J48" i="55"/>
  <c r="U47" i="55"/>
  <c r="J47" i="55"/>
  <c r="U46" i="55"/>
  <c r="J46" i="55"/>
  <c r="U45" i="55"/>
  <c r="J45" i="55"/>
  <c r="U44" i="55"/>
  <c r="J44" i="55"/>
  <c r="U43" i="55"/>
  <c r="J43" i="55"/>
  <c r="U42" i="55"/>
  <c r="J42" i="55"/>
  <c r="U41" i="55"/>
  <c r="J41" i="55"/>
  <c r="U40" i="55"/>
  <c r="J40" i="55"/>
  <c r="U39" i="55"/>
  <c r="J39" i="55"/>
  <c r="U38" i="55"/>
  <c r="J38" i="55"/>
  <c r="U37" i="55"/>
  <c r="J37" i="55"/>
  <c r="U36" i="55"/>
  <c r="J36" i="55"/>
  <c r="U35" i="55"/>
  <c r="J35" i="55"/>
  <c r="U34" i="55"/>
  <c r="J34" i="55"/>
  <c r="U33" i="55"/>
  <c r="J33" i="55"/>
  <c r="U32" i="55"/>
  <c r="J32" i="55"/>
  <c r="U31" i="55"/>
  <c r="J31" i="55"/>
  <c r="U30" i="55"/>
  <c r="J30" i="55"/>
  <c r="U29" i="55"/>
  <c r="J29" i="55"/>
  <c r="U28" i="55"/>
  <c r="J28" i="55"/>
  <c r="U27" i="55"/>
  <c r="J27" i="55"/>
  <c r="U26" i="55"/>
  <c r="J26" i="55"/>
  <c r="U25" i="55"/>
  <c r="J25" i="55"/>
  <c r="U24" i="55"/>
  <c r="J24" i="55"/>
  <c r="U23" i="55"/>
  <c r="J23" i="55"/>
  <c r="U22" i="55"/>
  <c r="J22" i="55"/>
  <c r="U21" i="55"/>
  <c r="J21" i="55"/>
  <c r="U8" i="55"/>
  <c r="N8" i="55"/>
  <c r="F4" i="71" s="1"/>
  <c r="N4" i="55"/>
  <c r="F4" i="55"/>
  <c r="C4" i="72" s="1"/>
  <c r="E4" i="72" s="1"/>
  <c r="J220" i="54"/>
  <c r="J219" i="54"/>
  <c r="J218" i="54"/>
  <c r="J217" i="54"/>
  <c r="J216" i="54"/>
  <c r="J215" i="54"/>
  <c r="J214" i="54"/>
  <c r="J213" i="54"/>
  <c r="J212" i="54"/>
  <c r="J211" i="54"/>
  <c r="J210" i="54"/>
  <c r="J209" i="54"/>
  <c r="J208" i="54"/>
  <c r="J207" i="54"/>
  <c r="J206" i="54"/>
  <c r="J205" i="54"/>
  <c r="J204" i="54"/>
  <c r="J203" i="54"/>
  <c r="J202" i="54"/>
  <c r="J201" i="54"/>
  <c r="J200" i="54"/>
  <c r="J199" i="54"/>
  <c r="J198" i="54"/>
  <c r="J197" i="54"/>
  <c r="J196" i="54"/>
  <c r="J195" i="54"/>
  <c r="J194" i="54"/>
  <c r="J193" i="54"/>
  <c r="J192" i="54"/>
  <c r="J191" i="54"/>
  <c r="J190" i="54"/>
  <c r="J189" i="54"/>
  <c r="J188" i="54"/>
  <c r="J187" i="54"/>
  <c r="J186" i="54"/>
  <c r="J185" i="54"/>
  <c r="J184" i="54"/>
  <c r="J183" i="54"/>
  <c r="J182" i="54"/>
  <c r="J181" i="54"/>
  <c r="J180" i="54"/>
  <c r="J179" i="54"/>
  <c r="J178" i="54"/>
  <c r="J177" i="54"/>
  <c r="J176" i="54"/>
  <c r="J175" i="54"/>
  <c r="J174" i="54"/>
  <c r="J173" i="54"/>
  <c r="J172" i="54"/>
  <c r="J171" i="54"/>
  <c r="U170" i="54"/>
  <c r="J170" i="54"/>
  <c r="U169" i="54"/>
  <c r="J169" i="54"/>
  <c r="U168" i="54"/>
  <c r="J168" i="54"/>
  <c r="U167" i="54"/>
  <c r="J167" i="54"/>
  <c r="U166" i="54"/>
  <c r="J166" i="54"/>
  <c r="U165" i="54"/>
  <c r="J165" i="54"/>
  <c r="U164" i="54"/>
  <c r="J164" i="54"/>
  <c r="U163" i="54"/>
  <c r="J163" i="54"/>
  <c r="U162" i="54"/>
  <c r="J162" i="54"/>
  <c r="U161" i="54"/>
  <c r="J161" i="54"/>
  <c r="U160" i="54"/>
  <c r="J160" i="54"/>
  <c r="U159" i="54"/>
  <c r="J159" i="54"/>
  <c r="U158" i="54"/>
  <c r="J158" i="54"/>
  <c r="U157" i="54"/>
  <c r="J157" i="54"/>
  <c r="U156" i="54"/>
  <c r="J156" i="54"/>
  <c r="U155" i="54"/>
  <c r="J155" i="54"/>
  <c r="U154" i="54"/>
  <c r="J154" i="54"/>
  <c r="U153" i="54"/>
  <c r="J153" i="54"/>
  <c r="U152" i="54"/>
  <c r="J152" i="54"/>
  <c r="U151" i="54"/>
  <c r="J151" i="54"/>
  <c r="U150" i="54"/>
  <c r="J150" i="54"/>
  <c r="U149" i="54"/>
  <c r="J149" i="54"/>
  <c r="U148" i="54"/>
  <c r="J148" i="54"/>
  <c r="U147" i="54"/>
  <c r="J147" i="54"/>
  <c r="U146" i="54"/>
  <c r="J146" i="54"/>
  <c r="U145" i="54"/>
  <c r="J145" i="54"/>
  <c r="U144" i="54"/>
  <c r="J144" i="54"/>
  <c r="U143" i="54"/>
  <c r="J143" i="54"/>
  <c r="U142" i="54"/>
  <c r="J142" i="54"/>
  <c r="U141" i="54"/>
  <c r="J141" i="54"/>
  <c r="U140" i="54"/>
  <c r="J140" i="54"/>
  <c r="U139" i="54"/>
  <c r="J139" i="54"/>
  <c r="U138" i="54"/>
  <c r="J138" i="54"/>
  <c r="U137" i="54"/>
  <c r="J137" i="54"/>
  <c r="U136" i="54"/>
  <c r="J136" i="54"/>
  <c r="U135" i="54"/>
  <c r="J135" i="54"/>
  <c r="U134" i="54"/>
  <c r="J134" i="54"/>
  <c r="U133" i="54"/>
  <c r="J133" i="54"/>
  <c r="U132" i="54"/>
  <c r="J132" i="54"/>
  <c r="U131" i="54"/>
  <c r="J131" i="54"/>
  <c r="U130" i="54"/>
  <c r="J130" i="54"/>
  <c r="U129" i="54"/>
  <c r="J129" i="54"/>
  <c r="U128" i="54"/>
  <c r="J128" i="54"/>
  <c r="U127" i="54"/>
  <c r="J127" i="54"/>
  <c r="U126" i="54"/>
  <c r="J126" i="54"/>
  <c r="U125" i="54"/>
  <c r="J125" i="54"/>
  <c r="U124" i="54"/>
  <c r="J124" i="54"/>
  <c r="U123" i="54"/>
  <c r="J123" i="54"/>
  <c r="U122" i="54"/>
  <c r="J122" i="54"/>
  <c r="U121" i="54"/>
  <c r="J121" i="54"/>
  <c r="U120" i="54"/>
  <c r="J120" i="54"/>
  <c r="U119" i="54"/>
  <c r="J119" i="54"/>
  <c r="U118" i="54"/>
  <c r="J118" i="54"/>
  <c r="U117" i="54"/>
  <c r="J117" i="54"/>
  <c r="U116" i="54"/>
  <c r="J116" i="54"/>
  <c r="U115" i="54"/>
  <c r="J115" i="54"/>
  <c r="U114" i="54"/>
  <c r="J114" i="54"/>
  <c r="U113" i="54"/>
  <c r="J113" i="54"/>
  <c r="U112" i="54"/>
  <c r="J112" i="54"/>
  <c r="U111" i="54"/>
  <c r="J111" i="54"/>
  <c r="U110" i="54"/>
  <c r="J110" i="54"/>
  <c r="U109" i="54"/>
  <c r="J109" i="54"/>
  <c r="U108" i="54"/>
  <c r="J108" i="54"/>
  <c r="U107" i="54"/>
  <c r="J107" i="54"/>
  <c r="U106" i="54"/>
  <c r="J106" i="54"/>
  <c r="U105" i="54"/>
  <c r="J105" i="54"/>
  <c r="U104" i="54"/>
  <c r="J104" i="54"/>
  <c r="U103" i="54"/>
  <c r="J103" i="54"/>
  <c r="U102" i="54"/>
  <c r="J102" i="54"/>
  <c r="U101" i="54"/>
  <c r="J101" i="54"/>
  <c r="U100" i="54"/>
  <c r="J100" i="54"/>
  <c r="U99" i="54"/>
  <c r="J99" i="54"/>
  <c r="U98" i="54"/>
  <c r="J98" i="54"/>
  <c r="U97" i="54"/>
  <c r="J97" i="54"/>
  <c r="U96" i="54"/>
  <c r="J96" i="54"/>
  <c r="U95" i="54"/>
  <c r="J95" i="54"/>
  <c r="U94" i="54"/>
  <c r="J94" i="54"/>
  <c r="U93" i="54"/>
  <c r="J93" i="54"/>
  <c r="U92" i="54"/>
  <c r="J92" i="54"/>
  <c r="U91" i="54"/>
  <c r="J91" i="54"/>
  <c r="U90" i="54"/>
  <c r="J90" i="54"/>
  <c r="U89" i="54"/>
  <c r="J89" i="54"/>
  <c r="U88" i="54"/>
  <c r="J88" i="54"/>
  <c r="U87" i="54"/>
  <c r="J87" i="54"/>
  <c r="U86" i="54"/>
  <c r="J86" i="54"/>
  <c r="U85" i="54"/>
  <c r="J85" i="54"/>
  <c r="U84" i="54"/>
  <c r="J84" i="54"/>
  <c r="U83" i="54"/>
  <c r="J83" i="54"/>
  <c r="U82" i="54"/>
  <c r="J82" i="54"/>
  <c r="U81" i="54"/>
  <c r="J81" i="54"/>
  <c r="U80" i="54"/>
  <c r="J80" i="54"/>
  <c r="U79" i="54"/>
  <c r="J79" i="54"/>
  <c r="U78" i="54"/>
  <c r="J78" i="54"/>
  <c r="U77" i="54"/>
  <c r="J77" i="54"/>
  <c r="U76" i="54"/>
  <c r="J76" i="54"/>
  <c r="U75" i="54"/>
  <c r="J75" i="54"/>
  <c r="U74" i="54"/>
  <c r="J74" i="54"/>
  <c r="U73" i="54"/>
  <c r="J73" i="54"/>
  <c r="U72" i="54"/>
  <c r="J72" i="54"/>
  <c r="U71" i="54"/>
  <c r="J71" i="54"/>
  <c r="U70" i="54"/>
  <c r="J70" i="54"/>
  <c r="U69" i="54"/>
  <c r="J69" i="54"/>
  <c r="U68" i="54"/>
  <c r="J68" i="54"/>
  <c r="U67" i="54"/>
  <c r="J67" i="54"/>
  <c r="U66" i="54"/>
  <c r="J66" i="54"/>
  <c r="U65" i="54"/>
  <c r="J65" i="54"/>
  <c r="U64" i="54"/>
  <c r="J64" i="54"/>
  <c r="U63" i="54"/>
  <c r="J63" i="54"/>
  <c r="U62" i="54"/>
  <c r="J62" i="54"/>
  <c r="U61" i="54"/>
  <c r="J61" i="54"/>
  <c r="U60" i="54"/>
  <c r="J60" i="54"/>
  <c r="U59" i="54"/>
  <c r="J59" i="54"/>
  <c r="U58" i="54"/>
  <c r="J58" i="54"/>
  <c r="U57" i="54"/>
  <c r="J57" i="54"/>
  <c r="U56" i="54"/>
  <c r="J56" i="54"/>
  <c r="U55" i="54"/>
  <c r="J55" i="54"/>
  <c r="U54" i="54"/>
  <c r="J54" i="54"/>
  <c r="U53" i="54"/>
  <c r="J53" i="54"/>
  <c r="U52" i="54"/>
  <c r="J52" i="54"/>
  <c r="U51" i="54"/>
  <c r="J51" i="54"/>
  <c r="U50" i="54"/>
  <c r="J50" i="54"/>
  <c r="U49" i="54"/>
  <c r="J49" i="54"/>
  <c r="U48" i="54"/>
  <c r="J48" i="54"/>
  <c r="U47" i="54"/>
  <c r="J47" i="54"/>
  <c r="U46" i="54"/>
  <c r="J46" i="54"/>
  <c r="U45" i="54"/>
  <c r="J45" i="54"/>
  <c r="U44" i="54"/>
  <c r="J44" i="54"/>
  <c r="U43" i="54"/>
  <c r="J43" i="54"/>
  <c r="U42" i="54"/>
  <c r="J42" i="54"/>
  <c r="U41" i="54"/>
  <c r="J41" i="54"/>
  <c r="U40" i="54"/>
  <c r="J40" i="54"/>
  <c r="U39" i="54"/>
  <c r="J39" i="54"/>
  <c r="U38" i="54"/>
  <c r="J38" i="54"/>
  <c r="U37" i="54"/>
  <c r="J37" i="54"/>
  <c r="U36" i="54"/>
  <c r="J36" i="54"/>
  <c r="U35" i="54"/>
  <c r="J35" i="54"/>
  <c r="U34" i="54"/>
  <c r="J34" i="54"/>
  <c r="U33" i="54"/>
  <c r="J33" i="54"/>
  <c r="U32" i="54"/>
  <c r="J32" i="54"/>
  <c r="U31" i="54"/>
  <c r="J31" i="54"/>
  <c r="U30" i="54"/>
  <c r="J30" i="54"/>
  <c r="U29" i="54"/>
  <c r="J29" i="54"/>
  <c r="U28" i="54"/>
  <c r="J28" i="54"/>
  <c r="U27" i="54"/>
  <c r="J27" i="54"/>
  <c r="U26" i="54"/>
  <c r="J26" i="54"/>
  <c r="U25" i="54"/>
  <c r="J25" i="54"/>
  <c r="U24" i="54"/>
  <c r="J24" i="54"/>
  <c r="U23" i="54"/>
  <c r="J23" i="54"/>
  <c r="U22" i="54"/>
  <c r="J22" i="54"/>
  <c r="U21" i="54"/>
  <c r="J21" i="54"/>
  <c r="U8" i="54"/>
  <c r="N8" i="54"/>
  <c r="N4" i="54"/>
  <c r="F4" i="54"/>
  <c r="C5" i="72" s="1"/>
  <c r="E5" i="72" s="1"/>
  <c r="J220" i="53"/>
  <c r="J219" i="53"/>
  <c r="J218" i="53"/>
  <c r="J217" i="53"/>
  <c r="J216" i="53"/>
  <c r="J215" i="53"/>
  <c r="J214" i="53"/>
  <c r="J213" i="53"/>
  <c r="J212" i="53"/>
  <c r="J211" i="53"/>
  <c r="J210" i="53"/>
  <c r="J209" i="53"/>
  <c r="J208" i="53"/>
  <c r="J207" i="53"/>
  <c r="J206" i="53"/>
  <c r="J205" i="53"/>
  <c r="J204" i="53"/>
  <c r="J203" i="53"/>
  <c r="J202" i="53"/>
  <c r="J201" i="53"/>
  <c r="J200" i="53"/>
  <c r="J199" i="53"/>
  <c r="J198" i="53"/>
  <c r="J197" i="53"/>
  <c r="J196" i="53"/>
  <c r="J195" i="53"/>
  <c r="J194" i="53"/>
  <c r="J193" i="53"/>
  <c r="J192" i="53"/>
  <c r="J191" i="53"/>
  <c r="J190" i="53"/>
  <c r="J189" i="53"/>
  <c r="J188" i="53"/>
  <c r="J187" i="53"/>
  <c r="J186" i="53"/>
  <c r="J185" i="53"/>
  <c r="J184" i="53"/>
  <c r="J183" i="53"/>
  <c r="J182" i="53"/>
  <c r="J181" i="53"/>
  <c r="J180" i="53"/>
  <c r="J179" i="53"/>
  <c r="J178" i="53"/>
  <c r="J177" i="53"/>
  <c r="J176" i="53"/>
  <c r="J175" i="53"/>
  <c r="J174" i="53"/>
  <c r="J173" i="53"/>
  <c r="J172" i="53"/>
  <c r="J171" i="53"/>
  <c r="U170" i="53"/>
  <c r="J170" i="53"/>
  <c r="U169" i="53"/>
  <c r="J169" i="53"/>
  <c r="U168" i="53"/>
  <c r="J168" i="53"/>
  <c r="U167" i="53"/>
  <c r="J167" i="53"/>
  <c r="U166" i="53"/>
  <c r="J166" i="53"/>
  <c r="U165" i="53"/>
  <c r="J165" i="53"/>
  <c r="U164" i="53"/>
  <c r="J164" i="53"/>
  <c r="U163" i="53"/>
  <c r="J163" i="53"/>
  <c r="U162" i="53"/>
  <c r="J162" i="53"/>
  <c r="U161" i="53"/>
  <c r="J161" i="53"/>
  <c r="U160" i="53"/>
  <c r="J160" i="53"/>
  <c r="U159" i="53"/>
  <c r="J159" i="53"/>
  <c r="U158" i="53"/>
  <c r="J158" i="53"/>
  <c r="U157" i="53"/>
  <c r="J157" i="53"/>
  <c r="U156" i="53"/>
  <c r="J156" i="53"/>
  <c r="U155" i="53"/>
  <c r="J155" i="53"/>
  <c r="U154" i="53"/>
  <c r="J154" i="53"/>
  <c r="U153" i="53"/>
  <c r="J153" i="53"/>
  <c r="U152" i="53"/>
  <c r="J152" i="53"/>
  <c r="U151" i="53"/>
  <c r="J151" i="53"/>
  <c r="U150" i="53"/>
  <c r="J150" i="53"/>
  <c r="U149" i="53"/>
  <c r="J149" i="53"/>
  <c r="U148" i="53"/>
  <c r="J148" i="53"/>
  <c r="U147" i="53"/>
  <c r="J147" i="53"/>
  <c r="U146" i="53"/>
  <c r="J146" i="53"/>
  <c r="U145" i="53"/>
  <c r="J145" i="53"/>
  <c r="U144" i="53"/>
  <c r="J144" i="53"/>
  <c r="U143" i="53"/>
  <c r="J143" i="53"/>
  <c r="U142" i="53"/>
  <c r="J142" i="53"/>
  <c r="U141" i="53"/>
  <c r="J141" i="53"/>
  <c r="U140" i="53"/>
  <c r="J140" i="53"/>
  <c r="U139" i="53"/>
  <c r="J139" i="53"/>
  <c r="U138" i="53"/>
  <c r="J138" i="53"/>
  <c r="U137" i="53"/>
  <c r="J137" i="53"/>
  <c r="U136" i="53"/>
  <c r="J136" i="53"/>
  <c r="U135" i="53"/>
  <c r="J135" i="53"/>
  <c r="U134" i="53"/>
  <c r="J134" i="53"/>
  <c r="U133" i="53"/>
  <c r="J133" i="53"/>
  <c r="U132" i="53"/>
  <c r="J132" i="53"/>
  <c r="U131" i="53"/>
  <c r="J131" i="53"/>
  <c r="U130" i="53"/>
  <c r="J130" i="53"/>
  <c r="U129" i="53"/>
  <c r="J129" i="53"/>
  <c r="U128" i="53"/>
  <c r="J128" i="53"/>
  <c r="U127" i="53"/>
  <c r="J127" i="53"/>
  <c r="U126" i="53"/>
  <c r="J126" i="53"/>
  <c r="U125" i="53"/>
  <c r="J125" i="53"/>
  <c r="U124" i="53"/>
  <c r="J124" i="53"/>
  <c r="U123" i="53"/>
  <c r="J123" i="53"/>
  <c r="U122" i="53"/>
  <c r="J122" i="53"/>
  <c r="U121" i="53"/>
  <c r="J121" i="53"/>
  <c r="U120" i="53"/>
  <c r="J120" i="53"/>
  <c r="U119" i="53"/>
  <c r="J119" i="53"/>
  <c r="U118" i="53"/>
  <c r="J118" i="53"/>
  <c r="U117" i="53"/>
  <c r="J117" i="53"/>
  <c r="U116" i="53"/>
  <c r="J116" i="53"/>
  <c r="U115" i="53"/>
  <c r="J115" i="53"/>
  <c r="U114" i="53"/>
  <c r="J114" i="53"/>
  <c r="U113" i="53"/>
  <c r="J113" i="53"/>
  <c r="U112" i="53"/>
  <c r="J112" i="53"/>
  <c r="U111" i="53"/>
  <c r="J111" i="53"/>
  <c r="U110" i="53"/>
  <c r="J110" i="53"/>
  <c r="U109" i="53"/>
  <c r="J109" i="53"/>
  <c r="U108" i="53"/>
  <c r="J108" i="53"/>
  <c r="U107" i="53"/>
  <c r="J107" i="53"/>
  <c r="U106" i="53"/>
  <c r="J106" i="53"/>
  <c r="U105" i="53"/>
  <c r="J105" i="53"/>
  <c r="U104" i="53"/>
  <c r="J104" i="53"/>
  <c r="U103" i="53"/>
  <c r="J103" i="53"/>
  <c r="U102" i="53"/>
  <c r="J102" i="53"/>
  <c r="U101" i="53"/>
  <c r="J101" i="53"/>
  <c r="U100" i="53"/>
  <c r="J100" i="53"/>
  <c r="U99" i="53"/>
  <c r="J99" i="53"/>
  <c r="U98" i="53"/>
  <c r="J98" i="53"/>
  <c r="U97" i="53"/>
  <c r="J97" i="53"/>
  <c r="U96" i="53"/>
  <c r="J96" i="53"/>
  <c r="U95" i="53"/>
  <c r="J95" i="53"/>
  <c r="U94" i="53"/>
  <c r="J94" i="53"/>
  <c r="U93" i="53"/>
  <c r="J93" i="53"/>
  <c r="U92" i="53"/>
  <c r="J92" i="53"/>
  <c r="U91" i="53"/>
  <c r="J91" i="53"/>
  <c r="U90" i="53"/>
  <c r="J90" i="53"/>
  <c r="U89" i="53"/>
  <c r="J89" i="53"/>
  <c r="U88" i="53"/>
  <c r="J88" i="53"/>
  <c r="U87" i="53"/>
  <c r="J87" i="53"/>
  <c r="U86" i="53"/>
  <c r="J86" i="53"/>
  <c r="U85" i="53"/>
  <c r="J85" i="53"/>
  <c r="U84" i="53"/>
  <c r="J84" i="53"/>
  <c r="U83" i="53"/>
  <c r="J83" i="53"/>
  <c r="U82" i="53"/>
  <c r="J82" i="53"/>
  <c r="U81" i="53"/>
  <c r="J81" i="53"/>
  <c r="U80" i="53"/>
  <c r="J80" i="53"/>
  <c r="U79" i="53"/>
  <c r="J79" i="53"/>
  <c r="U78" i="53"/>
  <c r="J78" i="53"/>
  <c r="U77" i="53"/>
  <c r="J77" i="53"/>
  <c r="U76" i="53"/>
  <c r="J76" i="53"/>
  <c r="U75" i="53"/>
  <c r="J75" i="53"/>
  <c r="U74" i="53"/>
  <c r="J74" i="53"/>
  <c r="U73" i="53"/>
  <c r="J73" i="53"/>
  <c r="U72" i="53"/>
  <c r="J72" i="53"/>
  <c r="U71" i="53"/>
  <c r="J71" i="53"/>
  <c r="U70" i="53"/>
  <c r="J70" i="53"/>
  <c r="U69" i="53"/>
  <c r="J69" i="53"/>
  <c r="U68" i="53"/>
  <c r="J68" i="53"/>
  <c r="U67" i="53"/>
  <c r="J67" i="53"/>
  <c r="U66" i="53"/>
  <c r="J66" i="53"/>
  <c r="U65" i="53"/>
  <c r="J65" i="53"/>
  <c r="U64" i="53"/>
  <c r="J64" i="53"/>
  <c r="U63" i="53"/>
  <c r="J63" i="53"/>
  <c r="U62" i="53"/>
  <c r="J62" i="53"/>
  <c r="U61" i="53"/>
  <c r="J61" i="53"/>
  <c r="U60" i="53"/>
  <c r="J60" i="53"/>
  <c r="U59" i="53"/>
  <c r="J59" i="53"/>
  <c r="U58" i="53"/>
  <c r="J58" i="53"/>
  <c r="U57" i="53"/>
  <c r="J57" i="53"/>
  <c r="U56" i="53"/>
  <c r="J56" i="53"/>
  <c r="U55" i="53"/>
  <c r="J55" i="53"/>
  <c r="U54" i="53"/>
  <c r="J54" i="53"/>
  <c r="U53" i="53"/>
  <c r="J53" i="53"/>
  <c r="U52" i="53"/>
  <c r="J52" i="53"/>
  <c r="U51" i="53"/>
  <c r="J51" i="53"/>
  <c r="U50" i="53"/>
  <c r="J50" i="53"/>
  <c r="U49" i="53"/>
  <c r="J49" i="53"/>
  <c r="U48" i="53"/>
  <c r="J48" i="53"/>
  <c r="U47" i="53"/>
  <c r="J47" i="53"/>
  <c r="U46" i="53"/>
  <c r="J46" i="53"/>
  <c r="U45" i="53"/>
  <c r="J45" i="53"/>
  <c r="U44" i="53"/>
  <c r="J44" i="53"/>
  <c r="U43" i="53"/>
  <c r="J43" i="53"/>
  <c r="U42" i="53"/>
  <c r="J42" i="53"/>
  <c r="U41" i="53"/>
  <c r="J41" i="53"/>
  <c r="U40" i="53"/>
  <c r="J40" i="53"/>
  <c r="U39" i="53"/>
  <c r="J39" i="53"/>
  <c r="U38" i="53"/>
  <c r="J38" i="53"/>
  <c r="U37" i="53"/>
  <c r="J37" i="53"/>
  <c r="U36" i="53"/>
  <c r="J36" i="53"/>
  <c r="U35" i="53"/>
  <c r="J35" i="53"/>
  <c r="U34" i="53"/>
  <c r="J34" i="53"/>
  <c r="U33" i="53"/>
  <c r="J33" i="53"/>
  <c r="U32" i="53"/>
  <c r="J32" i="53"/>
  <c r="U31" i="53"/>
  <c r="J31" i="53"/>
  <c r="U30" i="53"/>
  <c r="J30" i="53"/>
  <c r="U29" i="53"/>
  <c r="J29" i="53"/>
  <c r="U28" i="53"/>
  <c r="J28" i="53"/>
  <c r="U27" i="53"/>
  <c r="J27" i="53"/>
  <c r="U26" i="53"/>
  <c r="J26" i="53"/>
  <c r="U25" i="53"/>
  <c r="J25" i="53"/>
  <c r="U24" i="53"/>
  <c r="J24" i="53"/>
  <c r="U23" i="53"/>
  <c r="J23" i="53"/>
  <c r="U22" i="53"/>
  <c r="J22" i="53"/>
  <c r="U21" i="53"/>
  <c r="J21" i="53"/>
  <c r="U8" i="53"/>
  <c r="N8" i="53"/>
  <c r="N4" i="53"/>
  <c r="F4" i="53"/>
  <c r="C6" i="72" s="1"/>
  <c r="E6" i="72" s="1"/>
  <c r="J220" i="51"/>
  <c r="J219" i="51"/>
  <c r="J218" i="51"/>
  <c r="J217" i="51"/>
  <c r="J216" i="51"/>
  <c r="J215" i="51"/>
  <c r="J214" i="51"/>
  <c r="J213" i="51"/>
  <c r="J212" i="51"/>
  <c r="J211" i="51"/>
  <c r="J210" i="51"/>
  <c r="J209" i="51"/>
  <c r="J208" i="51"/>
  <c r="J207" i="51"/>
  <c r="J206" i="51"/>
  <c r="J205" i="51"/>
  <c r="J204" i="51"/>
  <c r="J203" i="51"/>
  <c r="J202" i="51"/>
  <c r="J201" i="51"/>
  <c r="J200" i="51"/>
  <c r="J199" i="51"/>
  <c r="J198" i="51"/>
  <c r="J197" i="51"/>
  <c r="J196" i="51"/>
  <c r="J195" i="51"/>
  <c r="J194" i="51"/>
  <c r="J193" i="51"/>
  <c r="J192" i="51"/>
  <c r="J191" i="51"/>
  <c r="J190" i="51"/>
  <c r="J189" i="51"/>
  <c r="J188" i="51"/>
  <c r="J187" i="51"/>
  <c r="J186" i="51"/>
  <c r="J185" i="51"/>
  <c r="J184" i="51"/>
  <c r="J183" i="51"/>
  <c r="J182" i="51"/>
  <c r="J181" i="51"/>
  <c r="J180" i="51"/>
  <c r="J179" i="51"/>
  <c r="J178" i="51"/>
  <c r="J177" i="51"/>
  <c r="J176" i="51"/>
  <c r="J175" i="51"/>
  <c r="J174" i="51"/>
  <c r="J173" i="51"/>
  <c r="J172" i="51"/>
  <c r="J171" i="51"/>
  <c r="U170" i="51"/>
  <c r="J170" i="51"/>
  <c r="U169" i="51"/>
  <c r="J169" i="51"/>
  <c r="U168" i="51"/>
  <c r="J168" i="51"/>
  <c r="U167" i="51"/>
  <c r="J167" i="51"/>
  <c r="U166" i="51"/>
  <c r="J166" i="51"/>
  <c r="U165" i="51"/>
  <c r="J165" i="51"/>
  <c r="U164" i="51"/>
  <c r="J164" i="51"/>
  <c r="U163" i="51"/>
  <c r="J163" i="51"/>
  <c r="U162" i="51"/>
  <c r="J162" i="51"/>
  <c r="U161" i="51"/>
  <c r="J161" i="51"/>
  <c r="U160" i="51"/>
  <c r="J160" i="51"/>
  <c r="U159" i="51"/>
  <c r="J159" i="51"/>
  <c r="U158" i="51"/>
  <c r="J158" i="51"/>
  <c r="U157" i="51"/>
  <c r="J157" i="51"/>
  <c r="U156" i="51"/>
  <c r="J156" i="51"/>
  <c r="U155" i="51"/>
  <c r="J155" i="51"/>
  <c r="U154" i="51"/>
  <c r="J154" i="51"/>
  <c r="U153" i="51"/>
  <c r="J153" i="51"/>
  <c r="U152" i="51"/>
  <c r="J152" i="51"/>
  <c r="U151" i="51"/>
  <c r="J151" i="51"/>
  <c r="U150" i="51"/>
  <c r="J150" i="51"/>
  <c r="U149" i="51"/>
  <c r="J149" i="51"/>
  <c r="U148" i="51"/>
  <c r="J148" i="51"/>
  <c r="U147" i="51"/>
  <c r="J147" i="51"/>
  <c r="U146" i="51"/>
  <c r="J146" i="51"/>
  <c r="U145" i="51"/>
  <c r="J145" i="51"/>
  <c r="U144" i="51"/>
  <c r="J144" i="51"/>
  <c r="U143" i="51"/>
  <c r="J143" i="51"/>
  <c r="U142" i="51"/>
  <c r="J142" i="51"/>
  <c r="U141" i="51"/>
  <c r="J141" i="51"/>
  <c r="U140" i="51"/>
  <c r="J140" i="51"/>
  <c r="U139" i="51"/>
  <c r="J139" i="51"/>
  <c r="U138" i="51"/>
  <c r="J138" i="51"/>
  <c r="U137" i="51"/>
  <c r="J137" i="51"/>
  <c r="U136" i="51"/>
  <c r="J136" i="51"/>
  <c r="U135" i="51"/>
  <c r="J135" i="51"/>
  <c r="U134" i="51"/>
  <c r="J134" i="51"/>
  <c r="U133" i="51"/>
  <c r="J133" i="51"/>
  <c r="U132" i="51"/>
  <c r="J132" i="51"/>
  <c r="U131" i="51"/>
  <c r="J131" i="51"/>
  <c r="U130" i="51"/>
  <c r="J130" i="51"/>
  <c r="U129" i="51"/>
  <c r="J129" i="51"/>
  <c r="U128" i="51"/>
  <c r="J128" i="51"/>
  <c r="U127" i="51"/>
  <c r="J127" i="51"/>
  <c r="U126" i="51"/>
  <c r="J126" i="51"/>
  <c r="U125" i="51"/>
  <c r="J125" i="51"/>
  <c r="U124" i="51"/>
  <c r="J124" i="51"/>
  <c r="U123" i="51"/>
  <c r="J123" i="51"/>
  <c r="U122" i="51"/>
  <c r="J122" i="51"/>
  <c r="U121" i="51"/>
  <c r="J121" i="51"/>
  <c r="U120" i="51"/>
  <c r="J120" i="51"/>
  <c r="U119" i="51"/>
  <c r="J119" i="51"/>
  <c r="U118" i="51"/>
  <c r="J118" i="51"/>
  <c r="U117" i="51"/>
  <c r="J117" i="51"/>
  <c r="U116" i="51"/>
  <c r="J116" i="51"/>
  <c r="U115" i="51"/>
  <c r="J115" i="51"/>
  <c r="U114" i="51"/>
  <c r="J114" i="51"/>
  <c r="U113" i="51"/>
  <c r="J113" i="51"/>
  <c r="U112" i="51"/>
  <c r="J112" i="51"/>
  <c r="U111" i="51"/>
  <c r="J111" i="51"/>
  <c r="U110" i="51"/>
  <c r="J110" i="51"/>
  <c r="U109" i="51"/>
  <c r="J109" i="51"/>
  <c r="U108" i="51"/>
  <c r="J108" i="51"/>
  <c r="U107" i="51"/>
  <c r="J107" i="51"/>
  <c r="U106" i="51"/>
  <c r="J106" i="51"/>
  <c r="U105" i="51"/>
  <c r="J105" i="51"/>
  <c r="U104" i="51"/>
  <c r="J104" i="51"/>
  <c r="U103" i="51"/>
  <c r="J103" i="51"/>
  <c r="U102" i="51"/>
  <c r="J102" i="51"/>
  <c r="U101" i="51"/>
  <c r="J101" i="51"/>
  <c r="U100" i="51"/>
  <c r="J100" i="51"/>
  <c r="U99" i="51"/>
  <c r="J99" i="51"/>
  <c r="U98" i="51"/>
  <c r="J98" i="51"/>
  <c r="U97" i="51"/>
  <c r="J97" i="51"/>
  <c r="U96" i="51"/>
  <c r="J96" i="51"/>
  <c r="U95" i="51"/>
  <c r="J95" i="51"/>
  <c r="U94" i="51"/>
  <c r="J94" i="51"/>
  <c r="U93" i="51"/>
  <c r="J93" i="51"/>
  <c r="U92" i="51"/>
  <c r="J92" i="51"/>
  <c r="U91" i="51"/>
  <c r="J91" i="51"/>
  <c r="U90" i="51"/>
  <c r="J90" i="51"/>
  <c r="U89" i="51"/>
  <c r="J89" i="51"/>
  <c r="U88" i="51"/>
  <c r="J88" i="51"/>
  <c r="U87" i="51"/>
  <c r="J87" i="51"/>
  <c r="U86" i="51"/>
  <c r="J86" i="51"/>
  <c r="U85" i="51"/>
  <c r="J85" i="51"/>
  <c r="U84" i="51"/>
  <c r="J84" i="51"/>
  <c r="U83" i="51"/>
  <c r="J83" i="51"/>
  <c r="U82" i="51"/>
  <c r="J82" i="51"/>
  <c r="U81" i="51"/>
  <c r="J81" i="51"/>
  <c r="U80" i="51"/>
  <c r="J80" i="51"/>
  <c r="U79" i="51"/>
  <c r="J79" i="51"/>
  <c r="U78" i="51"/>
  <c r="J78" i="51"/>
  <c r="U77" i="51"/>
  <c r="J77" i="51"/>
  <c r="U76" i="51"/>
  <c r="J76" i="51"/>
  <c r="U75" i="51"/>
  <c r="J75" i="51"/>
  <c r="U74" i="51"/>
  <c r="J74" i="51"/>
  <c r="U73" i="51"/>
  <c r="J73" i="51"/>
  <c r="U72" i="51"/>
  <c r="J72" i="51"/>
  <c r="U71" i="51"/>
  <c r="J71" i="51"/>
  <c r="U70" i="51"/>
  <c r="J70" i="51"/>
  <c r="U69" i="51"/>
  <c r="J69" i="51"/>
  <c r="U68" i="51"/>
  <c r="J68" i="51"/>
  <c r="U67" i="51"/>
  <c r="J67" i="51"/>
  <c r="U66" i="51"/>
  <c r="J66" i="51"/>
  <c r="U65" i="51"/>
  <c r="J65" i="51"/>
  <c r="U64" i="51"/>
  <c r="J64" i="51"/>
  <c r="U63" i="51"/>
  <c r="J63" i="51"/>
  <c r="U62" i="51"/>
  <c r="J62" i="51"/>
  <c r="U61" i="51"/>
  <c r="J61" i="51"/>
  <c r="U60" i="51"/>
  <c r="J60" i="51"/>
  <c r="U59" i="51"/>
  <c r="J59" i="51"/>
  <c r="U58" i="51"/>
  <c r="J58" i="51"/>
  <c r="U57" i="51"/>
  <c r="J57" i="51"/>
  <c r="U56" i="51"/>
  <c r="J56" i="51"/>
  <c r="U55" i="51"/>
  <c r="J55" i="51"/>
  <c r="U54" i="51"/>
  <c r="J54" i="51"/>
  <c r="U53" i="51"/>
  <c r="J53" i="51"/>
  <c r="U52" i="51"/>
  <c r="J52" i="51"/>
  <c r="U51" i="51"/>
  <c r="J51" i="51"/>
  <c r="U50" i="51"/>
  <c r="J50" i="51"/>
  <c r="U49" i="51"/>
  <c r="J49" i="51"/>
  <c r="U48" i="51"/>
  <c r="J48" i="51"/>
  <c r="U47" i="51"/>
  <c r="J47" i="51"/>
  <c r="U46" i="51"/>
  <c r="J46" i="51"/>
  <c r="U45" i="51"/>
  <c r="J45" i="51"/>
  <c r="U44" i="51"/>
  <c r="J44" i="51"/>
  <c r="U43" i="51"/>
  <c r="J43" i="51"/>
  <c r="U42" i="51"/>
  <c r="J42" i="51"/>
  <c r="U41" i="51"/>
  <c r="J41" i="51"/>
  <c r="U40" i="51"/>
  <c r="J40" i="51"/>
  <c r="U39" i="51"/>
  <c r="J39" i="51"/>
  <c r="U38" i="51"/>
  <c r="J38" i="51"/>
  <c r="U37" i="51"/>
  <c r="J37" i="51"/>
  <c r="U36" i="51"/>
  <c r="J36" i="51"/>
  <c r="U35" i="51"/>
  <c r="J35" i="51"/>
  <c r="U34" i="51"/>
  <c r="J34" i="51"/>
  <c r="U33" i="51"/>
  <c r="J33" i="51"/>
  <c r="U32" i="51"/>
  <c r="J32" i="51"/>
  <c r="U31" i="51"/>
  <c r="J31" i="51"/>
  <c r="U30" i="51"/>
  <c r="J30" i="51"/>
  <c r="U29" i="51"/>
  <c r="J29" i="51"/>
  <c r="U28" i="51"/>
  <c r="J28" i="51"/>
  <c r="U27" i="51"/>
  <c r="J27" i="51"/>
  <c r="U26" i="51"/>
  <c r="J26" i="51"/>
  <c r="U25" i="51"/>
  <c r="J25" i="51"/>
  <c r="U24" i="51"/>
  <c r="J24" i="51"/>
  <c r="U23" i="51"/>
  <c r="J23" i="51"/>
  <c r="U22" i="51"/>
  <c r="J22" i="51"/>
  <c r="U21" i="51"/>
  <c r="N8" i="51" s="1"/>
  <c r="F7" i="71" s="1"/>
  <c r="J21" i="51"/>
  <c r="U8" i="51"/>
  <c r="N4" i="51"/>
  <c r="F4" i="51"/>
  <c r="C7" i="72" s="1"/>
  <c r="E7" i="72" s="1"/>
  <c r="U22" i="50"/>
  <c r="U23" i="50"/>
  <c r="U24" i="50"/>
  <c r="U25" i="50"/>
  <c r="U26" i="50"/>
  <c r="U27" i="50"/>
  <c r="U28" i="50"/>
  <c r="U29" i="50"/>
  <c r="U30" i="50"/>
  <c r="U31" i="50"/>
  <c r="U32" i="50"/>
  <c r="U33" i="50"/>
  <c r="U34" i="50"/>
  <c r="U35" i="50"/>
  <c r="U36" i="50"/>
  <c r="U37" i="50"/>
  <c r="U38" i="50"/>
  <c r="U39" i="50"/>
  <c r="U40" i="50"/>
  <c r="U41" i="50"/>
  <c r="U42" i="50"/>
  <c r="U43" i="50"/>
  <c r="U44" i="50"/>
  <c r="U45" i="50"/>
  <c r="U46" i="50"/>
  <c r="U47" i="50"/>
  <c r="U48" i="50"/>
  <c r="U49" i="50"/>
  <c r="U50" i="50"/>
  <c r="U51" i="50"/>
  <c r="U52" i="50"/>
  <c r="U53" i="50"/>
  <c r="U54" i="50"/>
  <c r="U55" i="50"/>
  <c r="U56" i="50"/>
  <c r="U57" i="50"/>
  <c r="U58" i="50"/>
  <c r="U59" i="50"/>
  <c r="U60" i="50"/>
  <c r="U61" i="50"/>
  <c r="U62" i="50"/>
  <c r="U63" i="50"/>
  <c r="U64" i="50"/>
  <c r="U65" i="50"/>
  <c r="U66" i="50"/>
  <c r="U67" i="50"/>
  <c r="U68" i="50"/>
  <c r="U69" i="50"/>
  <c r="U70" i="50"/>
  <c r="U71" i="50"/>
  <c r="U72" i="50"/>
  <c r="U73" i="50"/>
  <c r="U74" i="50"/>
  <c r="U75" i="50"/>
  <c r="U76" i="50"/>
  <c r="U77" i="50"/>
  <c r="U78" i="50"/>
  <c r="U79" i="50"/>
  <c r="U80" i="50"/>
  <c r="U81" i="50"/>
  <c r="U82" i="50"/>
  <c r="U83" i="50"/>
  <c r="U84" i="50"/>
  <c r="U85" i="50"/>
  <c r="U86" i="50"/>
  <c r="U87" i="50"/>
  <c r="U88" i="50"/>
  <c r="U89" i="50"/>
  <c r="U90" i="50"/>
  <c r="U91" i="50"/>
  <c r="U92" i="50"/>
  <c r="U93" i="50"/>
  <c r="U94" i="50"/>
  <c r="U95" i="50"/>
  <c r="U96" i="50"/>
  <c r="U97" i="50"/>
  <c r="U98" i="50"/>
  <c r="U99" i="50"/>
  <c r="U100" i="50"/>
  <c r="U101" i="50"/>
  <c r="U102" i="50"/>
  <c r="U103" i="50"/>
  <c r="U104" i="50"/>
  <c r="U105" i="50"/>
  <c r="U106" i="50"/>
  <c r="U107" i="50"/>
  <c r="U108" i="50"/>
  <c r="U109" i="50"/>
  <c r="U110" i="50"/>
  <c r="U111" i="50"/>
  <c r="U112" i="50"/>
  <c r="U113" i="50"/>
  <c r="U114" i="50"/>
  <c r="U115" i="50"/>
  <c r="U116" i="50"/>
  <c r="U117" i="50"/>
  <c r="U118" i="50"/>
  <c r="U119" i="50"/>
  <c r="U120" i="50"/>
  <c r="U121" i="50"/>
  <c r="U122" i="50"/>
  <c r="U123" i="50"/>
  <c r="U124" i="50"/>
  <c r="U125" i="50"/>
  <c r="U126" i="50"/>
  <c r="U127" i="50"/>
  <c r="U128" i="50"/>
  <c r="U129" i="50"/>
  <c r="U130" i="50"/>
  <c r="U131" i="50"/>
  <c r="U132" i="50"/>
  <c r="U133" i="50"/>
  <c r="U134" i="50"/>
  <c r="U135" i="50"/>
  <c r="U136" i="50"/>
  <c r="U137" i="50"/>
  <c r="U138" i="50"/>
  <c r="U139" i="50"/>
  <c r="U140" i="50"/>
  <c r="U141" i="50"/>
  <c r="U142" i="50"/>
  <c r="U143" i="50"/>
  <c r="U144" i="50"/>
  <c r="U145" i="50"/>
  <c r="U146" i="50"/>
  <c r="U147" i="50"/>
  <c r="U148" i="50"/>
  <c r="U149" i="50"/>
  <c r="U150" i="50"/>
  <c r="U151" i="50"/>
  <c r="U152" i="50"/>
  <c r="U153" i="50"/>
  <c r="U154" i="50"/>
  <c r="U155" i="50"/>
  <c r="U156" i="50"/>
  <c r="U157" i="50"/>
  <c r="U158" i="50"/>
  <c r="U159" i="50"/>
  <c r="U160" i="50"/>
  <c r="U161" i="50"/>
  <c r="U162" i="50"/>
  <c r="U163" i="50"/>
  <c r="U164" i="50"/>
  <c r="U165" i="50"/>
  <c r="U166" i="50"/>
  <c r="U167" i="50"/>
  <c r="U168" i="50"/>
  <c r="U169" i="50"/>
  <c r="U170" i="50"/>
  <c r="F4" i="50"/>
  <c r="F8" i="72" l="1"/>
  <c r="O10" i="72" s="1"/>
  <c r="F8" i="71"/>
  <c r="O12" i="71" s="1"/>
  <c r="D15" i="67" s="1"/>
  <c r="H9" i="71"/>
  <c r="H9" i="72"/>
  <c r="H8" i="71"/>
  <c r="H8" i="72"/>
  <c r="H7" i="71"/>
  <c r="H7" i="72"/>
  <c r="H6" i="71"/>
  <c r="H6" i="72"/>
  <c r="H5" i="71"/>
  <c r="H5" i="72"/>
  <c r="H4" i="71"/>
  <c r="H4" i="72"/>
  <c r="C3" i="71"/>
  <c r="E3" i="71" s="1"/>
  <c r="C3" i="72"/>
  <c r="N6" i="63"/>
  <c r="G10" i="71"/>
  <c r="U6" i="53"/>
  <c r="U6" i="54"/>
  <c r="U6" i="55"/>
  <c r="U6" i="64"/>
  <c r="M9" i="67"/>
  <c r="P12" i="67"/>
  <c r="U6" i="51"/>
  <c r="E13" i="55"/>
  <c r="C4" i="71"/>
  <c r="E4" i="71" s="1"/>
  <c r="E13" i="56"/>
  <c r="C17" i="71"/>
  <c r="E17" i="71" s="1"/>
  <c r="N6" i="56"/>
  <c r="E13" i="57"/>
  <c r="C16" i="71"/>
  <c r="E16" i="71" s="1"/>
  <c r="N6" i="57"/>
  <c r="E13" i="58"/>
  <c r="C15" i="71"/>
  <c r="E15" i="71" s="1"/>
  <c r="N6" i="58"/>
  <c r="E13" i="59"/>
  <c r="C14" i="71"/>
  <c r="E14" i="71" s="1"/>
  <c r="N6" i="59"/>
  <c r="E13" i="60"/>
  <c r="C13" i="71"/>
  <c r="E13" i="71" s="1"/>
  <c r="N6" i="60"/>
  <c r="E13" i="61"/>
  <c r="C12" i="71"/>
  <c r="E12" i="71" s="1"/>
  <c r="N6" i="61"/>
  <c r="E13" i="62"/>
  <c r="C11" i="71"/>
  <c r="E11" i="71" s="1"/>
  <c r="N6" i="62"/>
  <c r="E13" i="63"/>
  <c r="C10" i="71"/>
  <c r="E10" i="71" s="1"/>
  <c r="E13" i="64"/>
  <c r="C9" i="71"/>
  <c r="E9" i="71" s="1"/>
  <c r="E13" i="65"/>
  <c r="C8" i="71"/>
  <c r="E8" i="71" s="1"/>
  <c r="E13" i="51"/>
  <c r="C7" i="71"/>
  <c r="E7" i="71" s="1"/>
  <c r="E13" i="53"/>
  <c r="C6" i="71"/>
  <c r="E6" i="71" s="1"/>
  <c r="E13" i="54"/>
  <c r="C5" i="71"/>
  <c r="N6" i="69"/>
  <c r="P11" i="67"/>
  <c r="U8" i="69"/>
  <c r="U6" i="65"/>
  <c r="G8" i="72" s="1"/>
  <c r="N6" i="64" l="1"/>
  <c r="G9" i="72"/>
  <c r="G7" i="71"/>
  <c r="G7" i="72"/>
  <c r="N6" i="53"/>
  <c r="G6" i="72"/>
  <c r="G5" i="71"/>
  <c r="G5" i="72"/>
  <c r="G4" i="71"/>
  <c r="G4" i="72"/>
  <c r="E3" i="72"/>
  <c r="B129" i="72"/>
  <c r="C129" i="72" s="1"/>
  <c r="O8" i="72"/>
  <c r="G6" i="71"/>
  <c r="N6" i="54"/>
  <c r="N6" i="65"/>
  <c r="G8" i="71"/>
  <c r="N6" i="55"/>
  <c r="G9" i="71"/>
  <c r="N6" i="51"/>
  <c r="O10" i="71"/>
  <c r="D14" i="67" s="1"/>
  <c r="E5" i="71"/>
  <c r="B129" i="71"/>
  <c r="C129" i="71" s="1"/>
  <c r="N8" i="69"/>
  <c r="P16" i="67" s="1"/>
  <c r="P13" i="67"/>
  <c r="N4" i="50" l="1"/>
  <c r="U21" i="50"/>
  <c r="N8" i="50" s="1"/>
  <c r="D3" i="48" l="1"/>
  <c r="F8" i="55" s="1"/>
  <c r="U4" i="55" s="1"/>
  <c r="I4" i="72" s="1"/>
  <c r="D4" i="48"/>
  <c r="F8" i="54" s="1"/>
  <c r="U4" i="54" s="1"/>
  <c r="I5" i="72" s="1"/>
  <c r="D5" i="48"/>
  <c r="F8" i="53" s="1"/>
  <c r="U4" i="53" s="1"/>
  <c r="I6" i="72" s="1"/>
  <c r="D6" i="48"/>
  <c r="F8" i="51" s="1"/>
  <c r="U4" i="51" s="1"/>
  <c r="I7" i="72" s="1"/>
  <c r="D7" i="48"/>
  <c r="F8" i="65" s="1"/>
  <c r="U4" i="65" s="1"/>
  <c r="I8" i="72" s="1"/>
  <c r="D8" i="48"/>
  <c r="F8" i="64" s="1"/>
  <c r="U4" i="64" s="1"/>
  <c r="I9" i="72" s="1"/>
  <c r="D9" i="48"/>
  <c r="F8" i="63" s="1"/>
  <c r="U4" i="63" s="1"/>
  <c r="I10" i="72" s="1"/>
  <c r="D10" i="48"/>
  <c r="F8" i="62" s="1"/>
  <c r="U4" i="62" s="1"/>
  <c r="I11" i="72" s="1"/>
  <c r="D11" i="48"/>
  <c r="F8" i="61" s="1"/>
  <c r="U4" i="61" s="1"/>
  <c r="I12" i="72" s="1"/>
  <c r="D12" i="48"/>
  <c r="F8" i="60" s="1"/>
  <c r="U4" i="60" s="1"/>
  <c r="I13" i="72" s="1"/>
  <c r="D13" i="48"/>
  <c r="F8" i="59" s="1"/>
  <c r="U4" i="59" s="1"/>
  <c r="I14" i="72" s="1"/>
  <c r="D14" i="48"/>
  <c r="F8" i="58" s="1"/>
  <c r="U4" i="58" s="1"/>
  <c r="I15" i="72" s="1"/>
  <c r="D15" i="48"/>
  <c r="F8" i="57" s="1"/>
  <c r="U4" i="57" s="1"/>
  <c r="I16" i="72" s="1"/>
  <c r="D16" i="48"/>
  <c r="F8" i="56" s="1"/>
  <c r="U4" i="56" s="1"/>
  <c r="I17" i="72" s="1"/>
  <c r="E3" i="48"/>
  <c r="F10" i="55" s="1"/>
  <c r="E4" i="48"/>
  <c r="F10" i="54" s="1"/>
  <c r="E5" i="48"/>
  <c r="F10" i="53" s="1"/>
  <c r="E6" i="48"/>
  <c r="F10" i="51" s="1"/>
  <c r="E7" i="48"/>
  <c r="F10" i="65" s="1"/>
  <c r="E8" i="48"/>
  <c r="F10" i="64" s="1"/>
  <c r="E9" i="48"/>
  <c r="F10" i="63" s="1"/>
  <c r="K10" i="71" s="1"/>
  <c r="E10" i="48"/>
  <c r="F10" i="62" s="1"/>
  <c r="K11" i="71" s="1"/>
  <c r="E11" i="48"/>
  <c r="F10" i="61" s="1"/>
  <c r="K12" i="71" s="1"/>
  <c r="E12" i="48"/>
  <c r="F10" i="60" s="1"/>
  <c r="K13" i="71" s="1"/>
  <c r="E13" i="48"/>
  <c r="F10" i="59" s="1"/>
  <c r="K14" i="71" s="1"/>
  <c r="E14" i="48"/>
  <c r="F10" i="58" s="1"/>
  <c r="K15" i="71" s="1"/>
  <c r="E15" i="48"/>
  <c r="F10" i="57" s="1"/>
  <c r="K16" i="71" s="1"/>
  <c r="E16" i="48"/>
  <c r="F10" i="56" s="1"/>
  <c r="K17" i="71" s="1"/>
  <c r="E2" i="48"/>
  <c r="F10" i="50" s="1"/>
  <c r="D2" i="48"/>
  <c r="F8" i="50" s="1"/>
  <c r="C1" i="50"/>
  <c r="B3" i="71" s="1"/>
  <c r="K5" i="71" l="1"/>
  <c r="K5" i="72"/>
  <c r="K4" i="71"/>
  <c r="K4" i="72"/>
  <c r="K9" i="71"/>
  <c r="K9" i="72"/>
  <c r="K8" i="71"/>
  <c r="K8" i="72"/>
  <c r="K7" i="71"/>
  <c r="K7" i="72"/>
  <c r="K3" i="71"/>
  <c r="K3" i="72"/>
  <c r="K6" i="71"/>
  <c r="K6" i="72"/>
  <c r="U10" i="57"/>
  <c r="L16" i="72" s="1"/>
  <c r="I16" i="71"/>
  <c r="U10" i="59"/>
  <c r="L14" i="72" s="1"/>
  <c r="I14" i="71"/>
  <c r="U10" i="61"/>
  <c r="L12" i="72" s="1"/>
  <c r="I12" i="71"/>
  <c r="U10" i="63"/>
  <c r="L10" i="72" s="1"/>
  <c r="I10" i="71"/>
  <c r="U10" i="65"/>
  <c r="L8" i="72" s="1"/>
  <c r="I8" i="71"/>
  <c r="U10" i="53"/>
  <c r="L6" i="72" s="1"/>
  <c r="I6" i="71"/>
  <c r="U10" i="56"/>
  <c r="L17" i="72" s="1"/>
  <c r="I17" i="71"/>
  <c r="U10" i="58"/>
  <c r="L15" i="72" s="1"/>
  <c r="I15" i="71"/>
  <c r="U10" i="60"/>
  <c r="L13" i="72" s="1"/>
  <c r="I13" i="71"/>
  <c r="U10" i="62"/>
  <c r="L11" i="72" s="1"/>
  <c r="I11" i="71"/>
  <c r="U10" i="64"/>
  <c r="I9" i="71"/>
  <c r="U10" i="51"/>
  <c r="I7" i="71"/>
  <c r="U10" i="54"/>
  <c r="L5" i="72" s="1"/>
  <c r="I5" i="71"/>
  <c r="U10" i="55"/>
  <c r="I4" i="71"/>
  <c r="J220" i="50"/>
  <c r="J219" i="50"/>
  <c r="J218" i="50"/>
  <c r="J217" i="50"/>
  <c r="J216" i="50"/>
  <c r="J215" i="50"/>
  <c r="J214" i="50"/>
  <c r="J213" i="50"/>
  <c r="J212" i="50"/>
  <c r="J211" i="50"/>
  <c r="J210" i="50"/>
  <c r="J209" i="50"/>
  <c r="J208" i="50"/>
  <c r="J207" i="50"/>
  <c r="J206" i="50"/>
  <c r="J205" i="50"/>
  <c r="J204" i="50"/>
  <c r="J203" i="50"/>
  <c r="J202" i="50"/>
  <c r="J201" i="50"/>
  <c r="J200" i="50"/>
  <c r="J199" i="50"/>
  <c r="J198" i="50"/>
  <c r="J197" i="50"/>
  <c r="J196" i="50"/>
  <c r="J195" i="50"/>
  <c r="J194" i="50"/>
  <c r="J193" i="50"/>
  <c r="J192" i="50"/>
  <c r="J191" i="50"/>
  <c r="J190" i="50"/>
  <c r="J189" i="50"/>
  <c r="J188" i="50"/>
  <c r="J187" i="50"/>
  <c r="J186" i="50"/>
  <c r="J185" i="50"/>
  <c r="J184" i="50"/>
  <c r="J183" i="50"/>
  <c r="J182" i="50"/>
  <c r="J181" i="50"/>
  <c r="J180" i="50"/>
  <c r="J179" i="50"/>
  <c r="J178" i="50"/>
  <c r="J177" i="50"/>
  <c r="J176" i="50"/>
  <c r="J175" i="50"/>
  <c r="J174" i="50"/>
  <c r="J173" i="50"/>
  <c r="J172" i="50"/>
  <c r="J171" i="50"/>
  <c r="J170" i="50"/>
  <c r="J169" i="50"/>
  <c r="J168" i="50"/>
  <c r="J167" i="50"/>
  <c r="J166" i="50"/>
  <c r="J165" i="50"/>
  <c r="J164" i="50"/>
  <c r="J163" i="50"/>
  <c r="J162" i="50"/>
  <c r="J161" i="50"/>
  <c r="J160" i="50"/>
  <c r="J159" i="50"/>
  <c r="J158" i="50"/>
  <c r="J157" i="50"/>
  <c r="J156" i="50"/>
  <c r="J155" i="50"/>
  <c r="J154" i="50"/>
  <c r="J153" i="50"/>
  <c r="J152" i="50"/>
  <c r="J151" i="50"/>
  <c r="J150" i="50"/>
  <c r="J149" i="50"/>
  <c r="J148" i="50"/>
  <c r="J147" i="50"/>
  <c r="J146" i="50"/>
  <c r="J145" i="50"/>
  <c r="J144" i="50"/>
  <c r="J143" i="50"/>
  <c r="J142" i="50"/>
  <c r="J141" i="50"/>
  <c r="J140" i="50"/>
  <c r="J139" i="50"/>
  <c r="J138" i="50"/>
  <c r="J137" i="50"/>
  <c r="J136" i="50"/>
  <c r="J135" i="50"/>
  <c r="J134" i="50"/>
  <c r="J133" i="50"/>
  <c r="J132" i="50"/>
  <c r="J131" i="50"/>
  <c r="J130" i="50"/>
  <c r="J129" i="50"/>
  <c r="J128" i="50"/>
  <c r="J127" i="50"/>
  <c r="J126" i="50"/>
  <c r="J125" i="50"/>
  <c r="J124" i="50"/>
  <c r="J123" i="50"/>
  <c r="J122" i="50"/>
  <c r="J121" i="50"/>
  <c r="J120" i="50"/>
  <c r="J119" i="50"/>
  <c r="J118" i="50"/>
  <c r="J117" i="50"/>
  <c r="J116" i="50"/>
  <c r="J115" i="50"/>
  <c r="J114" i="50"/>
  <c r="J113" i="50"/>
  <c r="J112" i="50"/>
  <c r="J111" i="50"/>
  <c r="J110" i="50"/>
  <c r="J109" i="50"/>
  <c r="J108" i="50"/>
  <c r="J107" i="50"/>
  <c r="J106" i="50"/>
  <c r="J105" i="50"/>
  <c r="J104" i="50"/>
  <c r="J103" i="50"/>
  <c r="J102" i="50"/>
  <c r="J101" i="50"/>
  <c r="J100" i="50"/>
  <c r="J99" i="50"/>
  <c r="J98" i="50"/>
  <c r="J97" i="50"/>
  <c r="J96" i="50"/>
  <c r="J95" i="50"/>
  <c r="J94" i="50"/>
  <c r="J93" i="50"/>
  <c r="J92" i="50"/>
  <c r="J91" i="50"/>
  <c r="J90" i="50"/>
  <c r="J89" i="50"/>
  <c r="J88" i="50"/>
  <c r="J87" i="50"/>
  <c r="J86" i="50"/>
  <c r="J85" i="50"/>
  <c r="J84" i="50"/>
  <c r="J83" i="50"/>
  <c r="J82" i="50"/>
  <c r="J81" i="50"/>
  <c r="J80" i="50"/>
  <c r="J79" i="50"/>
  <c r="J78" i="50"/>
  <c r="J77" i="50"/>
  <c r="J76" i="50"/>
  <c r="J75" i="50"/>
  <c r="J74" i="50"/>
  <c r="J73" i="50"/>
  <c r="J72" i="50"/>
  <c r="J71" i="50"/>
  <c r="J70" i="50"/>
  <c r="J69" i="50"/>
  <c r="J68" i="50"/>
  <c r="J67" i="50"/>
  <c r="J66" i="50"/>
  <c r="J65" i="50"/>
  <c r="J64" i="50"/>
  <c r="J63" i="50"/>
  <c r="J62" i="50"/>
  <c r="J61" i="50"/>
  <c r="J60" i="50"/>
  <c r="J59" i="50"/>
  <c r="J58" i="50"/>
  <c r="J57" i="50"/>
  <c r="J56" i="50"/>
  <c r="J55" i="50"/>
  <c r="J54" i="50"/>
  <c r="J53" i="50"/>
  <c r="J52" i="50"/>
  <c r="J51" i="50"/>
  <c r="J50" i="50"/>
  <c r="J49" i="50"/>
  <c r="J48" i="50"/>
  <c r="J47" i="50"/>
  <c r="J46" i="50"/>
  <c r="J45" i="50"/>
  <c r="J44" i="50"/>
  <c r="J43" i="50"/>
  <c r="J42" i="50"/>
  <c r="J41" i="50"/>
  <c r="J40" i="50"/>
  <c r="J39" i="50"/>
  <c r="J38" i="50"/>
  <c r="J37" i="50"/>
  <c r="J36" i="50"/>
  <c r="J35" i="50"/>
  <c r="J34" i="50"/>
  <c r="J33" i="50"/>
  <c r="J32" i="50"/>
  <c r="J31" i="50"/>
  <c r="J30" i="50"/>
  <c r="J29" i="50"/>
  <c r="J28" i="50"/>
  <c r="J27" i="50"/>
  <c r="J26" i="50"/>
  <c r="J25" i="50"/>
  <c r="J24" i="50"/>
  <c r="J23" i="50"/>
  <c r="J21" i="50"/>
  <c r="O8" i="71" l="1"/>
  <c r="N10" i="51"/>
  <c r="L7" i="72"/>
  <c r="N10" i="64"/>
  <c r="L9" i="72"/>
  <c r="L4" i="71"/>
  <c r="L4" i="72"/>
  <c r="N10" i="54"/>
  <c r="L5" i="71"/>
  <c r="N10" i="55"/>
  <c r="L7" i="71"/>
  <c r="L9" i="71"/>
  <c r="N10" i="62"/>
  <c r="L11" i="71"/>
  <c r="N10" i="60"/>
  <c r="L13" i="71"/>
  <c r="N10" i="58"/>
  <c r="L15" i="71"/>
  <c r="N10" i="56"/>
  <c r="L17" i="71"/>
  <c r="N10" i="53"/>
  <c r="L6" i="71"/>
  <c r="N10" i="65"/>
  <c r="L8" i="71"/>
  <c r="N10" i="63"/>
  <c r="L10" i="71"/>
  <c r="N10" i="61"/>
  <c r="L12" i="71"/>
  <c r="N10" i="59"/>
  <c r="L14" i="71"/>
  <c r="N10" i="57"/>
  <c r="L16" i="71"/>
  <c r="E15" i="32"/>
  <c r="I15" i="32"/>
  <c r="B15" i="32"/>
  <c r="J10" i="71" l="1"/>
  <c r="J10" i="72"/>
  <c r="J15" i="71"/>
  <c r="J15" i="72"/>
  <c r="J8" i="71"/>
  <c r="J8" i="72"/>
  <c r="J13" i="71"/>
  <c r="J13" i="72"/>
  <c r="J16" i="71"/>
  <c r="J16" i="72"/>
  <c r="J5" i="71"/>
  <c r="J5" i="72"/>
  <c r="J14" i="71"/>
  <c r="J14" i="72"/>
  <c r="J6" i="71"/>
  <c r="J6" i="72"/>
  <c r="J11" i="71"/>
  <c r="J11" i="72"/>
  <c r="J9" i="71"/>
  <c r="J9" i="72"/>
  <c r="J12" i="71"/>
  <c r="J12" i="72"/>
  <c r="J17" i="71"/>
  <c r="J17" i="72"/>
  <c r="J4" i="71"/>
  <c r="J4" i="72"/>
  <c r="J7" i="71"/>
  <c r="J7" i="72"/>
  <c r="D15" i="32"/>
  <c r="C15" i="32"/>
  <c r="E17" i="32" l="1"/>
  <c r="G17" i="32" l="1"/>
  <c r="F17" i="32"/>
  <c r="C17" i="32"/>
  <c r="F15" i="32"/>
  <c r="G15" i="32"/>
  <c r="S1" i="32"/>
  <c r="H17" i="32" l="1"/>
  <c r="H15" i="32" l="1"/>
  <c r="J15" i="32" s="1"/>
  <c r="J2" i="32"/>
  <c r="E12" i="32" l="1"/>
  <c r="E14" i="32"/>
  <c r="E13" i="32" l="1"/>
  <c r="E16" i="32"/>
  <c r="C16" i="32"/>
  <c r="E11" i="32"/>
  <c r="I12" i="32"/>
  <c r="B12" i="32"/>
  <c r="B11" i="32"/>
  <c r="I11" i="32"/>
  <c r="I13" i="32"/>
  <c r="B13" i="32"/>
  <c r="I14" i="32"/>
  <c r="B14" i="32"/>
  <c r="E10" i="32" l="1"/>
  <c r="E4" i="32"/>
  <c r="E5" i="32" l="1"/>
  <c r="E9" i="32"/>
  <c r="E8" i="32"/>
  <c r="E7" i="32"/>
  <c r="E6" i="32"/>
  <c r="D16" i="32" l="1"/>
  <c r="D17" i="32"/>
  <c r="J17" i="32" s="1"/>
  <c r="D10" i="32"/>
  <c r="I4" i="32"/>
  <c r="B4" i="32"/>
  <c r="I6" i="32"/>
  <c r="B6" i="32"/>
  <c r="B7" i="32"/>
  <c r="I7" i="32"/>
  <c r="I5" i="32"/>
  <c r="B5" i="32"/>
  <c r="I10" i="32"/>
  <c r="B10" i="32"/>
  <c r="I8" i="32"/>
  <c r="B8" i="32"/>
  <c r="B9" i="32"/>
  <c r="I9" i="32"/>
  <c r="C11" i="32"/>
  <c r="G10" i="32" l="1"/>
  <c r="C10" i="32"/>
  <c r="D11" i="32"/>
  <c r="D13" i="32"/>
  <c r="C13" i="32"/>
  <c r="G13" i="32"/>
  <c r="C9" i="32"/>
  <c r="G9" i="32"/>
  <c r="D8" i="32"/>
  <c r="C8" i="32"/>
  <c r="F8" i="32"/>
  <c r="G8" i="32"/>
  <c r="G5" i="32"/>
  <c r="F16" i="32"/>
  <c r="G16" i="32"/>
  <c r="F5" i="32" l="1"/>
  <c r="F6" i="32"/>
  <c r="C12" i="32"/>
  <c r="G11" i="32"/>
  <c r="F10" i="32"/>
  <c r="D12" i="32"/>
  <c r="G12" i="32"/>
  <c r="H13" i="32"/>
  <c r="J13" i="32" s="1"/>
  <c r="F13" i="32"/>
  <c r="G7" i="32"/>
  <c r="F7" i="32"/>
  <c r="D7" i="32"/>
  <c r="C7" i="32"/>
  <c r="D9" i="32"/>
  <c r="H9" i="32"/>
  <c r="H8" i="32"/>
  <c r="J8" i="32" s="1"/>
  <c r="H7" i="32"/>
  <c r="G4" i="32"/>
  <c r="G6" i="32"/>
  <c r="C6" i="32"/>
  <c r="D6" i="32"/>
  <c r="F11" i="32"/>
  <c r="A14" i="32"/>
  <c r="A6" i="32"/>
  <c r="A11" i="32"/>
  <c r="C5" i="32"/>
  <c r="D5" i="32"/>
  <c r="A10" i="32"/>
  <c r="A15" i="32"/>
  <c r="A7" i="32"/>
  <c r="H14" i="32"/>
  <c r="D14" i="32"/>
  <c r="C14" i="32"/>
  <c r="F14" i="32"/>
  <c r="G14" i="32"/>
  <c r="D3" i="32"/>
  <c r="D4" i="32"/>
  <c r="C4" i="32"/>
  <c r="A16" i="32"/>
  <c r="A12" i="32"/>
  <c r="A8" i="32"/>
  <c r="A17" i="32"/>
  <c r="A13" i="32"/>
  <c r="A9" i="32"/>
  <c r="A5" i="32"/>
  <c r="F9" i="32"/>
  <c r="H10" i="32"/>
  <c r="J10" i="32" s="1"/>
  <c r="H11" i="32"/>
  <c r="H5" i="32"/>
  <c r="H6" i="32"/>
  <c r="I3" i="32"/>
  <c r="C3" i="32"/>
  <c r="B3" i="32"/>
  <c r="A1" i="32"/>
  <c r="E3" i="32"/>
  <c r="A3" i="32"/>
  <c r="A4" i="32"/>
  <c r="H16" i="32"/>
  <c r="J16" i="32" s="1"/>
  <c r="H12" i="32"/>
  <c r="F3" i="32" l="1"/>
  <c r="F12" i="32"/>
  <c r="J9" i="32"/>
  <c r="J5" i="32"/>
  <c r="J11" i="32"/>
  <c r="J7" i="32"/>
  <c r="F4" i="32"/>
  <c r="J12" i="32"/>
  <c r="I17" i="32"/>
  <c r="B17" i="32"/>
  <c r="I16" i="32"/>
  <c r="B16" i="32"/>
  <c r="H4" i="32"/>
  <c r="J4" i="32" s="1"/>
  <c r="J14" i="32"/>
  <c r="J6" i="32"/>
  <c r="G3" i="32"/>
  <c r="H3" i="32"/>
  <c r="J3" i="32" l="1"/>
  <c r="E13" i="50"/>
  <c r="U4" i="50"/>
  <c r="I3" i="71" l="1"/>
  <c r="O2" i="71" s="1"/>
  <c r="I3" i="72"/>
  <c r="O2" i="72" s="1"/>
  <c r="D12" i="67" l="1"/>
  <c r="F5" i="67" s="1"/>
  <c r="A9" i="67"/>
  <c r="U8" i="50"/>
  <c r="J22" i="50"/>
  <c r="U6" i="50"/>
  <c r="H3" i="71" l="1"/>
  <c r="O16" i="71" s="1"/>
  <c r="H3" i="72"/>
  <c r="O14" i="72" s="1"/>
  <c r="G3" i="71"/>
  <c r="O4" i="71" s="1"/>
  <c r="D11" i="67" s="1"/>
  <c r="F4" i="67" s="1"/>
  <c r="G3" i="72"/>
  <c r="O4" i="72" s="1"/>
  <c r="O6" i="72" s="1"/>
  <c r="O12" i="72" s="1"/>
  <c r="U10" i="50"/>
  <c r="L3" i="72" s="1"/>
  <c r="N6" i="50"/>
  <c r="O6" i="71" l="1"/>
  <c r="D13" i="67" s="1"/>
  <c r="F6" i="67" s="1"/>
  <c r="L4" i="67" s="1"/>
  <c r="O14" i="71"/>
  <c r="D16" i="67" s="1"/>
  <c r="L3" i="71"/>
  <c r="N10" i="50"/>
  <c r="J3" i="71" l="1"/>
  <c r="J3" i="72"/>
</calcChain>
</file>

<file path=xl/connections.xml><?xml version="1.0" encoding="utf-8"?>
<connections xmlns="http://schemas.openxmlformats.org/spreadsheetml/2006/main">
  <connection id="1" name="Bağlantı" type="4" refreshedVersion="5" saveData="1">
    <webPr sourceData="1" parsePre="1" consecutive="1" xl2000="1" url="https://finans.mynet.com/borsa/hisseler"/>
  </connection>
</connections>
</file>

<file path=xl/sharedStrings.xml><?xml version="1.0" encoding="utf-8"?>
<sst xmlns="http://schemas.openxmlformats.org/spreadsheetml/2006/main" count="1303" uniqueCount="831">
  <si>
    <t>Hedef Lot Sayısı</t>
  </si>
  <si>
    <t>Toplam Yatırdığım Miktar</t>
  </si>
  <si>
    <t>Toplam Lot Sayısı</t>
  </si>
  <si>
    <t>Lot Fiyatı</t>
  </si>
  <si>
    <t>Canlı Borsa</t>
  </si>
  <si>
    <t>Endeksler</t>
  </si>
  <si>
    <t>Teknik Analiz</t>
  </si>
  <si>
    <t>KAP Haberleri</t>
  </si>
  <si>
    <t>Döviz Çevirici</t>
  </si>
  <si>
    <t>Değişim</t>
  </si>
  <si>
    <t>HİSSELER</t>
  </si>
  <si>
    <t>BIST piyasalarında oluşan tüm verilere ait telif hakları tamamen BIST'e ait olup, bu veriler tekrar yayınlanamaz. Pay Piyasası, Borçlanma Araçları Piyasası, Vadeli İşlem ve Opsiyon Piyasası verileri BIST kaynaklı en az 15 dakika gecikmeli verilerdir.</t>
  </si>
  <si>
    <t>Temettü Verimi</t>
  </si>
  <si>
    <t>Ortalama Temettü Verimi</t>
  </si>
  <si>
    <t>Sıra</t>
  </si>
  <si>
    <t>Hisseler</t>
  </si>
  <si>
    <t>Lot Sayıları</t>
  </si>
  <si>
    <t>Hisse</t>
  </si>
  <si>
    <t>Toplam Aldığım Temettü Miktarı</t>
  </si>
  <si>
    <t>Hedefe Ulaşma Yüzdesi</t>
  </si>
  <si>
    <t>Kar Zarar Durumum</t>
  </si>
  <si>
    <t>HESABIM ABONELİK</t>
  </si>
  <si>
    <t>ÜYE GİRİŞİ</t>
  </si>
  <si>
    <t xml:space="preserve">Üye Girişi Yap / Üye Ol </t>
  </si>
  <si>
    <t>MYNET ANASAYFA</t>
  </si>
  <si>
    <t>HABER</t>
  </si>
  <si>
    <t>SPOR</t>
  </si>
  <si>
    <t>FİNANS</t>
  </si>
  <si>
    <t>VİDEO</t>
  </si>
  <si>
    <t>YEMEK</t>
  </si>
  <si>
    <t>OYUN</t>
  </si>
  <si>
    <t>KADIN</t>
  </si>
  <si>
    <t>MAGAZİN</t>
  </si>
  <si>
    <t>TREND</t>
  </si>
  <si>
    <t>VİTRİN</t>
  </si>
  <si>
    <t>EĞİTİM</t>
  </si>
  <si>
    <t>EMAIL</t>
  </si>
  <si>
    <t>ASTROLOJİ</t>
  </si>
  <si>
    <t>HAVA DURUMU</t>
  </si>
  <si>
    <t>HIZLI ERİŞİM</t>
  </si>
  <si>
    <t xml:space="preserve">Borsa </t>
  </si>
  <si>
    <t xml:space="preserve">Anlık Borsa </t>
  </si>
  <si>
    <t xml:space="preserve">Döviz </t>
  </si>
  <si>
    <t xml:space="preserve">Altın </t>
  </si>
  <si>
    <t xml:space="preserve">Kripto </t>
  </si>
  <si>
    <t xml:space="preserve">Haber </t>
  </si>
  <si>
    <t xml:space="preserve">Faiz </t>
  </si>
  <si>
    <t xml:space="preserve">Kredi </t>
  </si>
  <si>
    <t xml:space="preserve">Finans Video </t>
  </si>
  <si>
    <t xml:space="preserve">Sayfam </t>
  </si>
  <si>
    <t>Seans İstatistiği</t>
  </si>
  <si>
    <t>Varant</t>
  </si>
  <si>
    <t>Borsa İstanbul’da İşlem Gören Tüm Hisseler</t>
  </si>
  <si>
    <t>Son</t>
  </si>
  <si>
    <t>Değişim Yüzde</t>
  </si>
  <si>
    <t>Hacim (TL)</t>
  </si>
  <si>
    <t>Saat</t>
  </si>
  <si>
    <t>ACSEL ACIPAYAM SELULOZ</t>
  </si>
  <si>
    <t>ADEL ADEL KALEMCILIK</t>
  </si>
  <si>
    <t>ADESE ADESE GAYRIMENKUL</t>
  </si>
  <si>
    <t>AEFES ANADOLU EFES</t>
  </si>
  <si>
    <t>AFYON AFYON CIMENTO</t>
  </si>
  <si>
    <t>AGESA AGESA HAYAT EMEKLILIK</t>
  </si>
  <si>
    <t>AGHOL ANADOLU GRUBU HOLDING</t>
  </si>
  <si>
    <t>AGYO ATAKULE GMYO</t>
  </si>
  <si>
    <t>AKBNK AKBANK</t>
  </si>
  <si>
    <t>AKCNS AKCANSA</t>
  </si>
  <si>
    <t>AKENR AK ENERJI</t>
  </si>
  <si>
    <t>AKFGY AKFEN GMYO</t>
  </si>
  <si>
    <t>AKGRT AKSIGORTA</t>
  </si>
  <si>
    <t>AKMGY AKMERKEZ GMYO</t>
  </si>
  <si>
    <t>AKSA AKSA</t>
  </si>
  <si>
    <t>AKSEN AKSA ENERJI</t>
  </si>
  <si>
    <t>AKSGY AKIS GMYO</t>
  </si>
  <si>
    <t>AKSUE AKSU ENERJI</t>
  </si>
  <si>
    <t>AKYHO AKDENIZ YATIRIM HOLDING</t>
  </si>
  <si>
    <t>ALARK ALARKO HOLDING</t>
  </si>
  <si>
    <t>ALBRK ALBARAKA TURK</t>
  </si>
  <si>
    <t>ALCAR ALARKO CARRIER</t>
  </si>
  <si>
    <t>ALCTL ALCATEL LUCENT TELETAS</t>
  </si>
  <si>
    <t>ALGYO ALARKO GMYO</t>
  </si>
  <si>
    <t>ALKA ALKIM KAGIT</t>
  </si>
  <si>
    <t>ALKIM ALKIM KIMYA</t>
  </si>
  <si>
    <t>ALMAD ALTINYAG MADENCILIK VE ENERJI</t>
  </si>
  <si>
    <t>ANELE ANEL ELEKTRIK</t>
  </si>
  <si>
    <t>ANGEN ANATOLIA TANI VE BIYOTEKNOLOJI</t>
  </si>
  <si>
    <t>ANHYT ANADOLU HAYAT EMEK.</t>
  </si>
  <si>
    <t>ANSGR ANADOLU SIGORTA</t>
  </si>
  <si>
    <t>ARASE DOGU ARAS ENERJI</t>
  </si>
  <si>
    <t>ARCLK ARCELIK</t>
  </si>
  <si>
    <t>ARDYZ ARD BILISIM TEKNOLOJILERI</t>
  </si>
  <si>
    <t>ARENA ARENA BILGISAYAR</t>
  </si>
  <si>
    <t>ARMDA ARMADA BILGISAYAR</t>
  </si>
  <si>
    <t>ARSAN ARSAN TEKSTIL</t>
  </si>
  <si>
    <t>ARZUM ARZUM EV ALETLERI</t>
  </si>
  <si>
    <t>ASELS ASELSAN</t>
  </si>
  <si>
    <t>ASUZU ANADOLU ISUZU</t>
  </si>
  <si>
    <t>ATAGY ATA GMYO</t>
  </si>
  <si>
    <t>ATATP ATP BILGISAYAR</t>
  </si>
  <si>
    <t>ATEKS AKIN TEKSTIL</t>
  </si>
  <si>
    <t>ATLAS ATLAS YAT. ORT.</t>
  </si>
  <si>
    <t>ATSYH ATLANTIS YATIRIM HOLDING</t>
  </si>
  <si>
    <t>AVGYO AVRASYA GMYO</t>
  </si>
  <si>
    <t>AVHOL AVRUPA YATIRIM HOLDING</t>
  </si>
  <si>
    <t>AVOD A.V.O.D GIDA VE TARIM</t>
  </si>
  <si>
    <t>AVTUR AVRASYA PETROL VE TUR.</t>
  </si>
  <si>
    <t>AYCES ALTINYUNUS CESME</t>
  </si>
  <si>
    <t>AYDEM AYDEM ENERJI</t>
  </si>
  <si>
    <t>AYEN AYEN ENERJI</t>
  </si>
  <si>
    <t>AYES AYES CELIK HASIR VE CIT</t>
  </si>
  <si>
    <t>AYGAZ AYGAZ</t>
  </si>
  <si>
    <t>BAGFS BAGFAS</t>
  </si>
  <si>
    <t>BAKAB BAK AMBALAJ</t>
  </si>
  <si>
    <t>BALAT BALATACILAR BALATACILIK</t>
  </si>
  <si>
    <t>BANVT BANVIT</t>
  </si>
  <si>
    <t>BASCM BASTAS BASKENT CIMENTO</t>
  </si>
  <si>
    <t>BASGZ BASKENT DOGALGAZ GMYO</t>
  </si>
  <si>
    <t>BAYRK BAYRAK TABAN SANAYI</t>
  </si>
  <si>
    <t>BERA BERA HOLDING</t>
  </si>
  <si>
    <t>BEYAZ BEYAZ FILO</t>
  </si>
  <si>
    <t>BFREN BOSCH FREN SISTEMLERI</t>
  </si>
  <si>
    <t>BIMAS BIM MAGAZALAR</t>
  </si>
  <si>
    <t>BIOEN BIOTREND CEVRE VE ENERJI</t>
  </si>
  <si>
    <t>BIZIM BIZIM MAGAZALARI</t>
  </si>
  <si>
    <t>BJKAS BESIKTAS FUTBOL YAT.</t>
  </si>
  <si>
    <t>BLCYT BILICI YATIRIM</t>
  </si>
  <si>
    <t>BMSCH BMS CELIK HASIR</t>
  </si>
  <si>
    <t>BNTAS BANTAS AMBALAJ</t>
  </si>
  <si>
    <t>BOBET BOGAZICI BETON SANAYI</t>
  </si>
  <si>
    <t>BOSSA BOSSA</t>
  </si>
  <si>
    <t>BRISA BRISA</t>
  </si>
  <si>
    <t>BRKO BIRKO MENSUCAT</t>
  </si>
  <si>
    <t>BRKSN BERKOSAN YALITIM</t>
  </si>
  <si>
    <t>BRLSM BIRLESIM MUHENDISLIK</t>
  </si>
  <si>
    <t>BRMEN BIRLIK MENSUCAT</t>
  </si>
  <si>
    <t>BRSAN BORUSAN MANNESMANN</t>
  </si>
  <si>
    <t>BRYAT BORUSAN YAT. PAZ.</t>
  </si>
  <si>
    <t>BSOKE BATISOKE CIMENTO</t>
  </si>
  <si>
    <t>BTCIM BATI CIMENTO</t>
  </si>
  <si>
    <t>BUCIM BURSA CIMENTO</t>
  </si>
  <si>
    <t>BURCE BURCELIK</t>
  </si>
  <si>
    <t>BURVA BURCELIK VANA</t>
  </si>
  <si>
    <t>CANTE CAN2 TERMIK</t>
  </si>
  <si>
    <t>CASA CASA EMTIA PETROL</t>
  </si>
  <si>
    <t>CCOLA COCA COLA ICECEK</t>
  </si>
  <si>
    <t>CELHA CELIK HALAT</t>
  </si>
  <si>
    <t>CEMAS CEMAS DOKUM</t>
  </si>
  <si>
    <t>CEMTS CEMTAS</t>
  </si>
  <si>
    <t>CEOEM CEO EVENT MEDYA</t>
  </si>
  <si>
    <t>CIMSA CIMSA</t>
  </si>
  <si>
    <t>CLEBI CELEBI</t>
  </si>
  <si>
    <t>CMBTN CIMBETON</t>
  </si>
  <si>
    <t>CMENT CIMENTAS</t>
  </si>
  <si>
    <t>COSMO COSMOS YAT. HOLDING</t>
  </si>
  <si>
    <t>CRDFA CREDITWEST FAKTORING</t>
  </si>
  <si>
    <t>CRFSA CARREFOURSA</t>
  </si>
  <si>
    <t>CUSAN CUHADAROGLU METAL</t>
  </si>
  <si>
    <t>DAGHL DAGI YATIRIM HOLDING</t>
  </si>
  <si>
    <t>DAGI DAGI GIYIM</t>
  </si>
  <si>
    <t>DAPGM DAP GAYRIMENKUL</t>
  </si>
  <si>
    <t>DARDL DARDANEL</t>
  </si>
  <si>
    <t>DENGE DENGE HOLDING</t>
  </si>
  <si>
    <t>DERHL DERLUKS YATIRIM HOLDING</t>
  </si>
  <si>
    <t>DERIM DERIMOD</t>
  </si>
  <si>
    <t>DESA DESA DERI</t>
  </si>
  <si>
    <t>DESPC DESPEC BILGISAYAR</t>
  </si>
  <si>
    <t>DEVA DEVA HOLDING</t>
  </si>
  <si>
    <t>DGATE DATAGATE BILGISAYAR</t>
  </si>
  <si>
    <t>DGGYO DOGUS GMYO</t>
  </si>
  <si>
    <t>DGNMO DOGANLAR MOBILYA</t>
  </si>
  <si>
    <t>DIRIT DIRITEKS DIRILIS TEKSTIL</t>
  </si>
  <si>
    <t>DITAS DITAS DOGAN</t>
  </si>
  <si>
    <t>DMSAS DEMISAS DOKUM</t>
  </si>
  <si>
    <t>DNISI DINAMIK ISI MAKINA YALITIM</t>
  </si>
  <si>
    <t>DOAS DOGUS OTOMOTIV</t>
  </si>
  <si>
    <t>DOBUR DOGAN BURDA</t>
  </si>
  <si>
    <t>DOCO DO-CO</t>
  </si>
  <si>
    <t>DOGUB DOGUSAN</t>
  </si>
  <si>
    <t>DOHOL DOGAN HOLDING</t>
  </si>
  <si>
    <t>DOKTA DOKTAS DOKUMCULUK</t>
  </si>
  <si>
    <t>DURDO DURAN DOGAN BASIM</t>
  </si>
  <si>
    <t>DYOBY DYO BOYA</t>
  </si>
  <si>
    <t>DZGYO DENIZ GMYO</t>
  </si>
  <si>
    <t>ECILC ECZACIBASI ILAC</t>
  </si>
  <si>
    <t>ECZYT ECZACIBASI YATIRIM</t>
  </si>
  <si>
    <t>EDATA E-DATA TEKNOLOJI</t>
  </si>
  <si>
    <t>EDIP EDIP GAYRIMENKUL</t>
  </si>
  <si>
    <t>EGEEN EGE ENDUSTRI</t>
  </si>
  <si>
    <t>EGEPO NASMED EGEPOL</t>
  </si>
  <si>
    <t>EGGUB EGE GUBRE</t>
  </si>
  <si>
    <t>EGPRO EGE PROFIL</t>
  </si>
  <si>
    <t>EGSER EGE SERAMIK</t>
  </si>
  <si>
    <t>EKGYO EMLAK KONUT GMYO</t>
  </si>
  <si>
    <t>EKIZ EKIZ KIMYA</t>
  </si>
  <si>
    <t>ELITE ELITE NATUREL ORGANIK GIDA</t>
  </si>
  <si>
    <t>EMKEL EMEK ELEKTRIK</t>
  </si>
  <si>
    <t>EMNIS EMINIS AMBALAJ</t>
  </si>
  <si>
    <t>ENJSA ENERJISA ENERJI</t>
  </si>
  <si>
    <t>ENKAI ENKA INSAAT</t>
  </si>
  <si>
    <t>ENSRI ENSARI DERI</t>
  </si>
  <si>
    <t>EPLAS EGEPLAST</t>
  </si>
  <si>
    <t>ERBOS ERBOSAN</t>
  </si>
  <si>
    <t>ERCB ERCIYAS CELIK BORU</t>
  </si>
  <si>
    <t>EREGL EREGLI DEMIR CELIK</t>
  </si>
  <si>
    <t>ERSU ERSU GIDA</t>
  </si>
  <si>
    <t>ESCOM ESCORT TEKNOLOJI</t>
  </si>
  <si>
    <t>ESEN ESENBOGA ELEKTRIK</t>
  </si>
  <si>
    <t>ETILR ETILER GIDA</t>
  </si>
  <si>
    <t>ETYAT EURO TREND YAT. ORT.</t>
  </si>
  <si>
    <t>EUHOL EURO YATIRIM HOLDING</t>
  </si>
  <si>
    <t>EUKYO EURO KAPITAL YAT. ORT.</t>
  </si>
  <si>
    <t>EUYO EURO YAT. ORT.</t>
  </si>
  <si>
    <t>FADE FADE GIDA</t>
  </si>
  <si>
    <t>FENER FENERBAHCE FUTBOL</t>
  </si>
  <si>
    <t>FLAP FLAP KONGRE TOPLANTI HIZ.</t>
  </si>
  <si>
    <t>FMIZP F-M IZMIT PISTON</t>
  </si>
  <si>
    <t>FONET FONET BILGI TEKNOLOJILERI</t>
  </si>
  <si>
    <t>FORMT FORMET METAL VE CAM</t>
  </si>
  <si>
    <t>FRIGO FRIGO PAK GIDA</t>
  </si>
  <si>
    <t>FROTO FORD OTOSAN</t>
  </si>
  <si>
    <t>GARAN GARANTI BANKASI</t>
  </si>
  <si>
    <t>GARFA GARANTI FAKTORING</t>
  </si>
  <si>
    <t>GEDIK GEDIK Y. MEN. DEG.</t>
  </si>
  <si>
    <t>GEDZA GEDIZ AMBALAJ</t>
  </si>
  <si>
    <t>GENIL GEN ILAC</t>
  </si>
  <si>
    <t>GENTS GENTAS</t>
  </si>
  <si>
    <t>GEREL GERSAN ELEKTRIK</t>
  </si>
  <si>
    <t>GESAN GIRISIM ELEKTRIK SANAYI</t>
  </si>
  <si>
    <t>GLBMD GLOBAL MEN. DEG.</t>
  </si>
  <si>
    <t>GLCVY GELECEK VARLIK YONETIMI</t>
  </si>
  <si>
    <t>GLRYH GULER YAT. HOLDING</t>
  </si>
  <si>
    <t>GLYHO GLOBAL YAT. HOLDING</t>
  </si>
  <si>
    <t>GMTAS GIMAT MAGAZACILIK</t>
  </si>
  <si>
    <t>GOLTS GOLTAS CIMENTO</t>
  </si>
  <si>
    <t>GOODY GOOD-YEAR</t>
  </si>
  <si>
    <t>GOZDE GOZDE GIRISIM</t>
  </si>
  <si>
    <t>GRNYO GARANTI YAT. ORT.</t>
  </si>
  <si>
    <t>GRSEL GUR-SEL TURIZM TASIMACILIK</t>
  </si>
  <si>
    <t>GSDDE GSD DENIZCILIK</t>
  </si>
  <si>
    <t>GSDHO GSD HOLDING</t>
  </si>
  <si>
    <t>GSRAY GALATASARAY SPORTIF</t>
  </si>
  <si>
    <t>GUBRF GUBRE FABRIK.</t>
  </si>
  <si>
    <t>GWIND GALATA WIND ENERJI</t>
  </si>
  <si>
    <t>GZNMI GEZINOMI SEYAHAT</t>
  </si>
  <si>
    <t>HALKB T. HALK BANKASI</t>
  </si>
  <si>
    <t>HATEK HATAY TEKSTIL</t>
  </si>
  <si>
    <t>HDFGS HEDEF GIRISIM</t>
  </si>
  <si>
    <t>HEDEF HEDEF HOLDING</t>
  </si>
  <si>
    <t>HEKTS HEKTAS</t>
  </si>
  <si>
    <t>HLGYO HALK GMYO</t>
  </si>
  <si>
    <t>HTTBT HITIT BILGISAYAR</t>
  </si>
  <si>
    <t>HUBVC HUB GIRISIM</t>
  </si>
  <si>
    <t>HUNER HUN YENILENEBILIR ENERJI</t>
  </si>
  <si>
    <t>HURGZ HURRIYET GZT.</t>
  </si>
  <si>
    <t>ICBCT ICBC TURKEY BANK</t>
  </si>
  <si>
    <t>IDEAS IDEAL FINANSAL TEKNOLOJILER</t>
  </si>
  <si>
    <t>IDGYO IDEALIST GMYO</t>
  </si>
  <si>
    <t>IEYHO ISIKLAR ENERJI YAPI HOL.</t>
  </si>
  <si>
    <t>IHAAS IHLAS HABER AJANSI</t>
  </si>
  <si>
    <t>IHEVA IHLAS EV ALETLERI</t>
  </si>
  <si>
    <t>IHGZT IHLAS GAZETECILIK</t>
  </si>
  <si>
    <t>IHLAS IHLAS HOLDING</t>
  </si>
  <si>
    <t>IHLGM IHLAS GAYRIMENKUL</t>
  </si>
  <si>
    <t>IHYAY IHLAS YAYIN HOLDING</t>
  </si>
  <si>
    <t>INDES INDEKS BILGISAYAR</t>
  </si>
  <si>
    <t>INFO INFO YATIRIM</t>
  </si>
  <si>
    <t>INTEM INTEMA</t>
  </si>
  <si>
    <t>INVEO INVEO YATIRIM HOLDING</t>
  </si>
  <si>
    <t>INVES INVESTCO HOLDING</t>
  </si>
  <si>
    <t>IPEKE IPEK DOGAL ENERJI</t>
  </si>
  <si>
    <t>ISATR IS BANKASI (A)</t>
  </si>
  <si>
    <t>ISBIR ISBIR HOLDING</t>
  </si>
  <si>
    <t>ISBTR IS BANKASI (B)</t>
  </si>
  <si>
    <t>ISCTR IS BANKASI (C)</t>
  </si>
  <si>
    <t>ISDMR ISKENDERUN DEMIR CELIK</t>
  </si>
  <si>
    <t>ISFIN IS FIN.KIR.</t>
  </si>
  <si>
    <t>ISGSY IS GIRISIM</t>
  </si>
  <si>
    <t>ISGYO IS GMYO</t>
  </si>
  <si>
    <t>ISKPL ISIK PLASTIK</t>
  </si>
  <si>
    <t>ISKUR IS BANKASI (KUR.)</t>
  </si>
  <si>
    <t>ISMEN IS Y. MEN. DEG.</t>
  </si>
  <si>
    <t>ISSEN ISBIR SENTETIK DOKUMA</t>
  </si>
  <si>
    <t>ISYAT IS YAT. ORT.</t>
  </si>
  <si>
    <t>ITTFH ITTIFAK HOLDING</t>
  </si>
  <si>
    <t>IZFAS IZMIR FIRCA</t>
  </si>
  <si>
    <t>IZMDC IZMIR DEMIR CELIK</t>
  </si>
  <si>
    <t>JANTS JANTSA JANT SANAYI</t>
  </si>
  <si>
    <t>KAPLM KAPLAMIN</t>
  </si>
  <si>
    <t>KAREL KAREL ELEKTRONIK</t>
  </si>
  <si>
    <t>KARSN KARSAN OTOMOTIV</t>
  </si>
  <si>
    <t>KARTN KARTONSAN</t>
  </si>
  <si>
    <t>KARYE KARTAL YEN. ENERJI</t>
  </si>
  <si>
    <t>KATMR KATMERCILER EKIPMAN</t>
  </si>
  <si>
    <t>KCHOL KOC HOLDING</t>
  </si>
  <si>
    <t>KENT KENT GIDA</t>
  </si>
  <si>
    <t>KERVN KERVANSARAY YAT. HOLDING</t>
  </si>
  <si>
    <t>KERVT KEREVITAS GIDA</t>
  </si>
  <si>
    <t>KFEIN KAFEIN YAZILIM</t>
  </si>
  <si>
    <t>KGYO KORAY GMYO</t>
  </si>
  <si>
    <t>KIMMR KIM MARKET-ERSAN ALISVERIS</t>
  </si>
  <si>
    <t>KLGYO KILER GMYO</t>
  </si>
  <si>
    <t>KLKIM KALEKIM KIMYEVI MADDELER</t>
  </si>
  <si>
    <t>KLMSN KLIMASAN KLIMA</t>
  </si>
  <si>
    <t>KLNMA T. KALKINMA BANK.</t>
  </si>
  <si>
    <t>KLSYN KOLEKSIYON MOBILYA</t>
  </si>
  <si>
    <t>KNFRT KONFRUT GIDA</t>
  </si>
  <si>
    <t>KONKA KONYA KAGIT</t>
  </si>
  <si>
    <t>KONTR KONTROLMATIK TEKNOLOJI</t>
  </si>
  <si>
    <t>KONYA KONYA CIMENTO</t>
  </si>
  <si>
    <t>KORDS KORDSA TEKNIK TEKSTIL</t>
  </si>
  <si>
    <t>KOZAA KOZA MADENCILIK</t>
  </si>
  <si>
    <t>KOZAL KOZA ALTIN</t>
  </si>
  <si>
    <t>KRDMA KARDEMIR (A)</t>
  </si>
  <si>
    <t>KRDMB KARDEMIR (B)</t>
  </si>
  <si>
    <t>KRDMD KARDEMIR (D)</t>
  </si>
  <si>
    <t>KRGYO KORFEZ GMYO</t>
  </si>
  <si>
    <t>KRSTL KRISTAL KOLA</t>
  </si>
  <si>
    <t>KRTEK KARSU TEKSTIL</t>
  </si>
  <si>
    <t>KRVGD KERVAN GIDA</t>
  </si>
  <si>
    <t>KSTUR KUSTUR KUSADASI TURIZM</t>
  </si>
  <si>
    <t>KTSKR KUTAHYA SEKER FABRIKASI</t>
  </si>
  <si>
    <t>KUTPO KUTAHYA PORSELEN</t>
  </si>
  <si>
    <t>KUYAS KUYAS YATIRIM</t>
  </si>
  <si>
    <t>KZBGY KIZILBUK GYO</t>
  </si>
  <si>
    <t>LIDFA LIDER FAKTORING</t>
  </si>
  <si>
    <t>LINK LINK BILGISAYAR</t>
  </si>
  <si>
    <t>LKMNH LOKMAN HEKIM SAGLIK</t>
  </si>
  <si>
    <t>LOGO LOGO YAZILIM</t>
  </si>
  <si>
    <t>LUKSK LUKS KADIFE</t>
  </si>
  <si>
    <t>MAALT MARMARIS ALTINYUNUS</t>
  </si>
  <si>
    <t>MAGEN MARGUN ENERJI</t>
  </si>
  <si>
    <t>MAKTK MAKINA TAKIM</t>
  </si>
  <si>
    <t>MANAS MANAS ENERJI YONETIMI</t>
  </si>
  <si>
    <t>MARKA MARKA YATIRIM HOLDING</t>
  </si>
  <si>
    <t>MARTI MARTI OTEL</t>
  </si>
  <si>
    <t>MAVI MAVI GIYIM</t>
  </si>
  <si>
    <t>MEDTR MEDITERA TIBBI MALZEME</t>
  </si>
  <si>
    <t>MEGAP MEGA POLIETILEN</t>
  </si>
  <si>
    <t>MEPET METRO PETROL VE TESISLERI</t>
  </si>
  <si>
    <t>MERCN MERCAN KIMYA</t>
  </si>
  <si>
    <t>MERIT MERIT TURIZM</t>
  </si>
  <si>
    <t>MERKO MERKO GIDA</t>
  </si>
  <si>
    <t>METRO METRO HOLDING</t>
  </si>
  <si>
    <t>METUR METEMTUR YATIRIM</t>
  </si>
  <si>
    <t>MGROS MIGROS TICARET</t>
  </si>
  <si>
    <t>MIATK MIA TEKNOLOJI</t>
  </si>
  <si>
    <t>MIPAZ MILPA</t>
  </si>
  <si>
    <t>MMCAS MMC SAN. VE TIC. YAT.</t>
  </si>
  <si>
    <t>MNDRS MENDERES TEKSTIL</t>
  </si>
  <si>
    <t>MOBTL MOBILTEL ILETISIM</t>
  </si>
  <si>
    <t>MPARK MLP SAGLIK</t>
  </si>
  <si>
    <t>MRGYO MARTI GMYO</t>
  </si>
  <si>
    <t>MRSHL MARSHALL</t>
  </si>
  <si>
    <t>MSGYO MISTRAL GMYO</t>
  </si>
  <si>
    <t>MTRKS MATRIKS BILGI DAGITIM</t>
  </si>
  <si>
    <t>MTRYO METRO YAT. ORT.</t>
  </si>
  <si>
    <t>MZHLD MAZHAR ZORLU HOLDING</t>
  </si>
  <si>
    <t>NATEN NATUREL ENERJI</t>
  </si>
  <si>
    <t>NETAS NETAS TELEKOM.</t>
  </si>
  <si>
    <t>NIBAS NIGBAS NIGDE BETON</t>
  </si>
  <si>
    <t>NTGAZ NATURELGAZ</t>
  </si>
  <si>
    <t>NTHOL NET HOLDING</t>
  </si>
  <si>
    <t>NUGYO NUROL GMYO</t>
  </si>
  <si>
    <t>NUHCM NUH CIMENTO</t>
  </si>
  <si>
    <t>ODAS ODAS ELEKTRIK</t>
  </si>
  <si>
    <t>ORCAY ORCAY ORTAKOY CAY SANAYI</t>
  </si>
  <si>
    <t>ORGE ORGE ENERJI ELEKTRIK</t>
  </si>
  <si>
    <t>ORMA ORMA ORMAN MAHSULLERI</t>
  </si>
  <si>
    <t>OSMEN OSMANLI MENKUL</t>
  </si>
  <si>
    <t>OSTIM OSTIM ENDUSTRIYEL YAT</t>
  </si>
  <si>
    <t>OTKAR OTOKAR</t>
  </si>
  <si>
    <t>OTTO OTTO HOLDING</t>
  </si>
  <si>
    <t>OYAKC OYAK CIMENTO</t>
  </si>
  <si>
    <t>OYAYO OYAK YAT. ORT.</t>
  </si>
  <si>
    <t>OYLUM OYLUM SINAI YATIRIMLAR</t>
  </si>
  <si>
    <t>OYYAT OYAK YATIRIM MENKUL</t>
  </si>
  <si>
    <t>OZGYO OZDERICI GMYO</t>
  </si>
  <si>
    <t>OZKGY OZAK GMYO</t>
  </si>
  <si>
    <t>OZRDN OZERDEN PLASTIK</t>
  </si>
  <si>
    <t>PAGYO PANORA GMYO</t>
  </si>
  <si>
    <t>PAMEL PAMEL ELEKTRIK</t>
  </si>
  <si>
    <t>PAPIL PAPILON SAVUNMA</t>
  </si>
  <si>
    <t>PARSN PARSAN</t>
  </si>
  <si>
    <t>PCILT PC ILETISIM MEDYA</t>
  </si>
  <si>
    <t>PEGYO PERA GMYO</t>
  </si>
  <si>
    <t>PEKGY PEKER GMYO</t>
  </si>
  <si>
    <t>PENGD PENGUEN GIDA</t>
  </si>
  <si>
    <t>PENTA PENTA TEKNOLOJI URUNLERI DAGITIM</t>
  </si>
  <si>
    <t>PETKM PETKIM</t>
  </si>
  <si>
    <t>PETUN PINAR ET VE UN</t>
  </si>
  <si>
    <t>PGSUS PEGASUS</t>
  </si>
  <si>
    <t>PINSU PINAR SU</t>
  </si>
  <si>
    <t>PKART PLASTIKKART</t>
  </si>
  <si>
    <t>PKENT PETROKENT TURIZM</t>
  </si>
  <si>
    <t>PNLSN PANELSAN CATI CEPHE</t>
  </si>
  <si>
    <t>PNSUT PINAR SUT</t>
  </si>
  <si>
    <t>POLHO POLISAN HOLDING</t>
  </si>
  <si>
    <t>POLTK POLITEKNIK METAL</t>
  </si>
  <si>
    <t>PRKAB TURK PRYSMIAN KABLO</t>
  </si>
  <si>
    <t>PRKME PARK ELEK.MADENCILIK</t>
  </si>
  <si>
    <t>PRZMA PRIZMA PRESS MATBAACILIK</t>
  </si>
  <si>
    <t>PSDTC PERGAMON DIS TICARET</t>
  </si>
  <si>
    <t>PSGYO PASIFIK GMYO</t>
  </si>
  <si>
    <t>QNBFB QNB FINANSBANK</t>
  </si>
  <si>
    <t>QNBFL QNB FINANS FINANSAL KIRALAMA</t>
  </si>
  <si>
    <t>QUAGR QUA GRANITE HAYAL YAPI</t>
  </si>
  <si>
    <t>RALYH RAL YATIRIM HOLDING</t>
  </si>
  <si>
    <t>RAYSG RAY SIGORTA</t>
  </si>
  <si>
    <t>RHEAG RHEA GIRISIM</t>
  </si>
  <si>
    <t>RNPOL RAINBOW POLIKARBONAT</t>
  </si>
  <si>
    <t>RODRG RODRIGO TEKSTIL</t>
  </si>
  <si>
    <t>ROYAL ROYAL HALI</t>
  </si>
  <si>
    <t>RTALB RTA LABORATUVARLARI</t>
  </si>
  <si>
    <t>RYGYO REYSAS GMYO</t>
  </si>
  <si>
    <t>RYSAS REYSAS LOJISTIK</t>
  </si>
  <si>
    <t>SAFKR SAFKAR EGE SOGUTMACILIK</t>
  </si>
  <si>
    <t>SAHOL SABANCI HOLDING</t>
  </si>
  <si>
    <t>SAMAT SARAY MATBAACILIK</t>
  </si>
  <si>
    <t>SANEL SANEL MUHENDISLIK</t>
  </si>
  <si>
    <t>SANKO SANKO PAZARLAMA</t>
  </si>
  <si>
    <t>SARKY SARKUYSAN</t>
  </si>
  <si>
    <t>SASA SASA POLYESTER</t>
  </si>
  <si>
    <t>SAYAS SAY YENILENEBILIR ENERJI</t>
  </si>
  <si>
    <t>SEKFK SEKER FIN. KIR.</t>
  </si>
  <si>
    <t>SEKUR SEKURO PLASTIK</t>
  </si>
  <si>
    <t>SELEC SELCUK ECZA DEPOSU</t>
  </si>
  <si>
    <t>SELGD SELCUK GIDA</t>
  </si>
  <si>
    <t>SELVA SELVA GIDA</t>
  </si>
  <si>
    <t>SEYKM SEYITLER KIMYA</t>
  </si>
  <si>
    <t>SILVR SILVERLINE ENDUSTRI</t>
  </si>
  <si>
    <t>SISE SISE CAM</t>
  </si>
  <si>
    <t>SKBNK SEKERBANK</t>
  </si>
  <si>
    <t>SKTAS SOKTAS</t>
  </si>
  <si>
    <t>SMART SMARTIKS YAZILIM</t>
  </si>
  <si>
    <t>SMRTG SMART GUNES ENERJISI TEK.</t>
  </si>
  <si>
    <t>SNGYO SINPAS GMYO</t>
  </si>
  <si>
    <t>SNKRN SENKRON SIBER GUVENLIK YAZILIM</t>
  </si>
  <si>
    <t>SNPAM SONMEZ PAMUKLU</t>
  </si>
  <si>
    <t>SODSN SODAS SODYUM SANAYII</t>
  </si>
  <si>
    <t>SOKM SOK MARKETLER TICARET</t>
  </si>
  <si>
    <t>SONME SONMEZ FILAMENT</t>
  </si>
  <si>
    <t>SRVGY SERVET GMYO</t>
  </si>
  <si>
    <t>SUMAS SUMAS SUNI TAHTA</t>
  </si>
  <si>
    <t>TATGD TAT GIDA</t>
  </si>
  <si>
    <t>TAVHL TAV HAVALIMANLARI</t>
  </si>
  <si>
    <t>TBORG T.TUBORG</t>
  </si>
  <si>
    <t>TCELL TURKCELL</t>
  </si>
  <si>
    <t>TDGYO TREND GMYO</t>
  </si>
  <si>
    <t>TEKTU TEK-ART TURIZM</t>
  </si>
  <si>
    <t>TETMT TETAMAT GIDA</t>
  </si>
  <si>
    <t>TEZOL EUROPAP TEZOL KAGIT</t>
  </si>
  <si>
    <t>TGSAS TGS DIS TICARET</t>
  </si>
  <si>
    <t>THYAO TURK HAVA YOLLARI</t>
  </si>
  <si>
    <t>TKFEN TEKFEN HOLDING</t>
  </si>
  <si>
    <t>TKNSA TEKNOSA IC VE DIS TICARET</t>
  </si>
  <si>
    <t>TLMAN TRABZON LIMAN</t>
  </si>
  <si>
    <t>TMPOL TEMAPOL POLIMER PLASTIK</t>
  </si>
  <si>
    <t>TMSN TUMOSAN MOTOR VE TRAKTOR</t>
  </si>
  <si>
    <t>TOASO TOFAS OTO. FAB.</t>
  </si>
  <si>
    <t>TRCAS TURCAS PETROL</t>
  </si>
  <si>
    <t>TRGYO TORUNLAR GMYO</t>
  </si>
  <si>
    <t>TRILC TURK ILAC SERUM</t>
  </si>
  <si>
    <t>TSGYO TSKB GMYO</t>
  </si>
  <si>
    <t>TSKB T.S.K.B.</t>
  </si>
  <si>
    <t>TSPOR TRABZONSPOR SPORTIF</t>
  </si>
  <si>
    <t>TTKOM TURK TELEKOM</t>
  </si>
  <si>
    <t>TTRAK TURK TRAKTOR</t>
  </si>
  <si>
    <t>TUCLK TUGCELIK</t>
  </si>
  <si>
    <t>TUKAS TUKAS</t>
  </si>
  <si>
    <t>TUPRS TUPRAS</t>
  </si>
  <si>
    <t>TUREX TUREKS TURIZM TASIMACILIK</t>
  </si>
  <si>
    <t>TURGG TURKER PROJE GAYRIMENKUL</t>
  </si>
  <si>
    <t>TURSG TURKIYE SIGORTA</t>
  </si>
  <si>
    <t>UFUK UFUK YATIRIM</t>
  </si>
  <si>
    <t>ULAS ULASLAR TURIZM YAT.</t>
  </si>
  <si>
    <t>ULKER ULKER BISKUVI</t>
  </si>
  <si>
    <t>ULUFA ULUSAL FAKTORING</t>
  </si>
  <si>
    <t>ULUSE ULUSOY ELEKTRIK</t>
  </si>
  <si>
    <t>ULUUN ULUSOY UN SANAYI</t>
  </si>
  <si>
    <t>UMPAS UMPAS HOLDING</t>
  </si>
  <si>
    <t>UNLU UNLU YATIRIM HOLDING</t>
  </si>
  <si>
    <t>USAK USAK SERAMIK</t>
  </si>
  <si>
    <t>UZERB UZERTAS BOYA</t>
  </si>
  <si>
    <t>VAKBN VAKIFLAR BANKASI</t>
  </si>
  <si>
    <t>VAKFN VAKIF FIN. KIR.</t>
  </si>
  <si>
    <t>VAKKO VAKKO TEKSTIL</t>
  </si>
  <si>
    <t>VANGD VANET GIDA</t>
  </si>
  <si>
    <t>VBTYZ VBT YAZILIM</t>
  </si>
  <si>
    <t>VERTU VERUSATURK GIRISIM</t>
  </si>
  <si>
    <t>VERUS VERUSA HOLDING</t>
  </si>
  <si>
    <t>VESBE VESTEL BEYAZ ESYA</t>
  </si>
  <si>
    <t>VESTL VESTEL</t>
  </si>
  <si>
    <t>VKFYO VAKIF YAT. ORT.</t>
  </si>
  <si>
    <t>VKGYO VAKIF GMYO</t>
  </si>
  <si>
    <t>VKING VIKING KAGIT</t>
  </si>
  <si>
    <t>YAPRK YAPRAK SUT VE BESI CIFT.</t>
  </si>
  <si>
    <t>YATAS YATAS</t>
  </si>
  <si>
    <t>YAYLA YAYLA EN. UR. TUR. VE INS</t>
  </si>
  <si>
    <t>YBTAS YIBITAS INSAAT MALZEME</t>
  </si>
  <si>
    <t>YEOTK YEO TEKNOLOJI ENERJI</t>
  </si>
  <si>
    <t>YESIL YESIL YATIRIM HOLDING</t>
  </si>
  <si>
    <t>YGGYO YENI GIMAT GMYO</t>
  </si>
  <si>
    <t>YGYO YESIL GMYO</t>
  </si>
  <si>
    <t>YKBNK YAPI VE KREDI BANK.</t>
  </si>
  <si>
    <t>YKSLN YUKSELEN CELIK</t>
  </si>
  <si>
    <t>YONGA YONGA MOBILYA</t>
  </si>
  <si>
    <t>YUNSA YUNSA</t>
  </si>
  <si>
    <t>YYAPI YESIL YAPI</t>
  </si>
  <si>
    <t>ZOREN ZORLU ENERJI</t>
  </si>
  <si>
    <t>ZRGYO ZIRAAT GMYO</t>
  </si>
  <si>
    <t>ANLIK BORSA</t>
  </si>
  <si>
    <t>CANLI BORSA</t>
  </si>
  <si>
    <t>EKONOMİK TAKVİM</t>
  </si>
  <si>
    <t>Anlık Borsa</t>
  </si>
  <si>
    <t>Haberler</t>
  </si>
  <si>
    <t>Mynet’te En Çok Takip Edilen Hisseler</t>
  </si>
  <si>
    <t>İzleyen Kişi</t>
  </si>
  <si>
    <t>Günün En Çok Yorumlanan Hisseleri</t>
  </si>
  <si>
    <t>Yorum Sayısı</t>
  </si>
  <si>
    <t>En Yeni Analiz Haberler</t>
  </si>
  <si>
    <t>Kredi Hesaplama</t>
  </si>
  <si>
    <t xml:space="preserve">HEMEN HESAPLA </t>
  </si>
  <si>
    <t>finans bülteni</t>
  </si>
  <si>
    <t>Mynet Finans Bülteni</t>
  </si>
  <si>
    <t>Günlük para ve sermaye piyasaları hareketleri, günün beklentileri, analizler, uzman görüşlerini öğrenmek için</t>
  </si>
  <si>
    <t>Abone Olun</t>
  </si>
  <si>
    <t xml:space="preserve">Çeyrek Altın Ne Kadar </t>
  </si>
  <si>
    <t xml:space="preserve">Gram Altın Ne Kadar </t>
  </si>
  <si>
    <t xml:space="preserve">Tam Altın Ne Kadar </t>
  </si>
  <si>
    <t xml:space="preserve">Yarım Altın Ne Kadar </t>
  </si>
  <si>
    <t xml:space="preserve">Cumhuriyet Altını Ne Kadar </t>
  </si>
  <si>
    <t xml:space="preserve">Dolar Ne Kadar </t>
  </si>
  <si>
    <t xml:space="preserve">Euro Ne Kadar </t>
  </si>
  <si>
    <t xml:space="preserve">Sterlin Ne Kadar </t>
  </si>
  <si>
    <t xml:space="preserve">Yuan Ne Kadar </t>
  </si>
  <si>
    <t xml:space="preserve">Ruble Ne Kadar </t>
  </si>
  <si>
    <t>SPK'nın 22 Nisan 2002 tarihli Resmi Gazete'de yayımlanan tebliği uyarınca yayımlanması istenen uyarı:</t>
  </si>
  <si>
    <t>"Burada yer alan yatırım bilgi, yorum ve tavsiyeleri yatırım danışmanlığı kapsamında değildir. Yatırım danışmanlığı hizmeti, aracı kurumlar, portföy yönetim şirketleri, mevduat kabul etmeyen bankalar ile müşteri arasında imzalanacak yatırım danışmanlığı sözleşmesi çerçevesinde sunulmaktadır. Burada yer alan yorum ve tavsiyeler, yorum ve tavsiyede bulunanların kişisel görüşlerine dayanmaktadır. Bu görüşler, mali durumunuz ile risk ve getiri tercihlerinize uygun olmayabilir. Bu nedenle, sadece burada yer alan bilgilere dayanılarak yatırım kararı verilmesi, beklentilerinize uygun sonuçlar doğurmayabilir."</t>
  </si>
  <si>
    <t>Finansal veriler Foreks A.Ş. tarafından sağlanmaktadır.</t>
  </si>
  <si>
    <t>Mynet, yayınlanan verilerin doğruluğu ve tamlığı konusunda herhangi bir garanti vermez. Veri yayınında oluşabilecek aksaklıklardan, verinin eksik ve yanlış yayınlanmasından meydana gelebilecek herhangi bir zarardan Mynet sorumlu değildir.</t>
  </si>
  <si>
    <t>Finans</t>
  </si>
  <si>
    <t>Yemek</t>
  </si>
  <si>
    <t>Gazeteler</t>
  </si>
  <si>
    <t>Hava Durumu</t>
  </si>
  <si>
    <t>Kadın</t>
  </si>
  <si>
    <t>Magazin</t>
  </si>
  <si>
    <t>Canlı Maç Anlatımı</t>
  </si>
  <si>
    <t>Oyun</t>
  </si>
  <si>
    <t>Video</t>
  </si>
  <si>
    <t>Kripto Para</t>
  </si>
  <si>
    <t>Astroloji</t>
  </si>
  <si>
    <t>E-Okul Giriş</t>
  </si>
  <si>
    <t>Seçim Haberleri</t>
  </si>
  <si>
    <t>Google Play StoreApp StoreApp Store</t>
  </si>
  <si>
    <t>Copyright © MYNET A.Ş. Telif Hakları MYNET A.Ş.'ye Aittir.</t>
  </si>
  <si>
    <t>LIDER LDR TURIZM</t>
  </si>
  <si>
    <t>ESCAR ESCAR FILO</t>
  </si>
  <si>
    <t>CONSE CONSUS ENERJI</t>
  </si>
  <si>
    <t>SUWEN SUWEN TEKSTIL</t>
  </si>
  <si>
    <t>BMSTL BMS BIRLESIK METAL</t>
  </si>
  <si>
    <t>IMASM IMAS MAKINA</t>
  </si>
  <si>
    <t>IZINV IZ YATIRIM HOLDING</t>
  </si>
  <si>
    <t>KMPUR KIMTEKS POLIURETAN</t>
  </si>
  <si>
    <t>SANFM SANIFOAM ENDUSTRI</t>
  </si>
  <si>
    <t>HABER SPOR FİNANS VİDEO YEMEK OYUN KADIN MAGAZİN TREND VİTRİN EĞİTİM TÜMÜ</t>
  </si>
  <si>
    <t>Kelime BulKelime Bul</t>
  </si>
  <si>
    <t>SudokuSudoku</t>
  </si>
  <si>
    <t>Hava DurumuHava Durumu</t>
  </si>
  <si>
    <t>Namaz VakitleriNamaz Vakitleri</t>
  </si>
  <si>
    <t>AstrolojiAstroloji</t>
  </si>
  <si>
    <t>TV RehberiTV Rehberi</t>
  </si>
  <si>
    <t>Şans Oyunu SonuçlarıŞans Oyunu Sonuçları</t>
  </si>
  <si>
    <t>VitrinVitrin</t>
  </si>
  <si>
    <t>Canlı BorsaCanlı Borsa</t>
  </si>
  <si>
    <t>Kredi HesaplaKredi Hesapla</t>
  </si>
  <si>
    <t>SUNTK SUN TEKSTIL</t>
  </si>
  <si>
    <t>YYLGD YAYLA GIDA</t>
  </si>
  <si>
    <t>Rüya TabirleriRüya Tabirleri</t>
  </si>
  <si>
    <t>SAĞLIK</t>
  </si>
  <si>
    <t xml:space="preserve">Finansal Sözlük </t>
  </si>
  <si>
    <t>EUREN EUROPEN ENDUSTRI</t>
  </si>
  <si>
    <t>SEGYO SEKER GMYO</t>
  </si>
  <si>
    <t>Vidobu</t>
  </si>
  <si>
    <t>PRDGS PARDUS GIRISIM</t>
  </si>
  <si>
    <t>MAKIM MAKIM MAKINE</t>
  </si>
  <si>
    <t>S.N.</t>
  </si>
  <si>
    <t>KCAER KOCAER CELIK</t>
  </si>
  <si>
    <t>Kar Zarar Durumu</t>
  </si>
  <si>
    <t>RUBNS RUBENIS TEKSTIL</t>
  </si>
  <si>
    <t>Facebook'da Takip EtTwitter'da Takip EtInstagram'da Takip EtLinkedin'de Takip EtYoutube'da Takip Et</t>
  </si>
  <si>
    <t>İLETİŞİM YARDIM ÜYELİK YASAL UYARI</t>
  </si>
  <si>
    <t>KLRHO KILER HOLDING</t>
  </si>
  <si>
    <t>Mynet</t>
  </si>
  <si>
    <t>Trend</t>
  </si>
  <si>
    <t>Yerel Haberler</t>
  </si>
  <si>
    <t>Eğitim</t>
  </si>
  <si>
    <t>Vitrin</t>
  </si>
  <si>
    <t>Sağlık</t>
  </si>
  <si>
    <t>Milli Piyango Sonuçları</t>
  </si>
  <si>
    <t>İletişim Yardım Üyelik Gizlilik Politikası Yasal Uyarı RSS</t>
  </si>
  <si>
    <t xml:space="preserve">Son Dakika haber, spor, astroloji ve magazinden siyasete, ekonomiden finansa, seyahatten televizyon dünyasına bütün konuların tek adresi mynet.com; mynet.com haber içerikleri kaynak gösterilmeden alıntı yapılamaz, kanuna aykırı ve izinsiz olarak kopyalanamaz, başka yerde yayınlanamaz. </t>
  </si>
  <si>
    <t>YEREL HABERLER</t>
  </si>
  <si>
    <t>KRPLS KOROPLAST TEMIZLIK AMBALAJ</t>
  </si>
  <si>
    <t>OBASE OBASE BILGISAYAR</t>
  </si>
  <si>
    <t>Son Dakika Haberleri</t>
  </si>
  <si>
    <t>Spor</t>
  </si>
  <si>
    <t>Teknoloji</t>
  </si>
  <si>
    <t>E-mail</t>
  </si>
  <si>
    <t>Borsa Seans İstatistiği</t>
  </si>
  <si>
    <t>Finansal Sözlük</t>
  </si>
  <si>
    <t>Altın Fiyatları</t>
  </si>
  <si>
    <t>Dolar Kuru</t>
  </si>
  <si>
    <t>Euro Kuru</t>
  </si>
  <si>
    <t xml:space="preserve">Rüya Tabirleri </t>
  </si>
  <si>
    <t>Kelime Bul</t>
  </si>
  <si>
    <t>Instagram Dondurma</t>
  </si>
  <si>
    <t>Instagram Silme</t>
  </si>
  <si>
    <t>TDK Sözlük</t>
  </si>
  <si>
    <t>Ayetel Kürsi</t>
  </si>
  <si>
    <t>Nazar Duası</t>
  </si>
  <si>
    <t>Finans Haberleri</t>
  </si>
  <si>
    <t>Gram Altın</t>
  </si>
  <si>
    <t>Ata Altın</t>
  </si>
  <si>
    <t>Gremse Altın</t>
  </si>
  <si>
    <t>Ziynet Altın</t>
  </si>
  <si>
    <t>14 Ayar Bilezik</t>
  </si>
  <si>
    <t>18 Ayar Bilezik</t>
  </si>
  <si>
    <t>22 Ayar Bilezik</t>
  </si>
  <si>
    <t>1 Çeyrek Altın Ne Kadar?</t>
  </si>
  <si>
    <t>1 Yarım Altın Ne Kadar?</t>
  </si>
  <si>
    <t>1 Cumhuriyet Altını Ne Kadar?</t>
  </si>
  <si>
    <t>1 Dolar Ne Kadar?</t>
  </si>
  <si>
    <t>1 Euro Ne Kadar?</t>
  </si>
  <si>
    <t>1 Ruble Ne Kadar?</t>
  </si>
  <si>
    <t>En Çok Düşen Hisseler</t>
  </si>
  <si>
    <t>En Çok Artan Hisseler</t>
  </si>
  <si>
    <t>En Çok İşlem Gören Hisseler</t>
  </si>
  <si>
    <t>Döviz Kuru</t>
  </si>
  <si>
    <t>Pariteler</t>
  </si>
  <si>
    <t>Faiz Oranları</t>
  </si>
  <si>
    <t xml:space="preserve">BES İptali </t>
  </si>
  <si>
    <t>EFT İptali</t>
  </si>
  <si>
    <t>BARMA BAREM AMBALAJ</t>
  </si>
  <si>
    <t>AZTEK AZTEK TEKNOLOJI</t>
  </si>
  <si>
    <t>HKTM HIDROPAR HAREKET KONTROL</t>
  </si>
  <si>
    <t>KUVVA KUVVA GIDA</t>
  </si>
  <si>
    <t xml:space="preserve">Akaryakıt Fiyatları </t>
  </si>
  <si>
    <t xml:space="preserve">Benzin Ne Kadar </t>
  </si>
  <si>
    <t xml:space="preserve">Motorin Ne Kadar </t>
  </si>
  <si>
    <t>ZEDUR ZEDUR ENERJI</t>
  </si>
  <si>
    <t>MNDTR MONDI TURKEY</t>
  </si>
  <si>
    <t>ALFAS ALFA SOLAR ENERJI</t>
  </si>
  <si>
    <t>ALTINS1 DARPHANE ALTIN SERTIFIKASI</t>
  </si>
  <si>
    <t>SNICA SANICA ISI SANAYI</t>
  </si>
  <si>
    <t>OZSUB OZSU BALIK</t>
  </si>
  <si>
    <t>TEST</t>
  </si>
  <si>
    <t>Günün TestiGünün Testi</t>
  </si>
  <si>
    <t>KRONT KRON TEKNOLOJI</t>
  </si>
  <si>
    <t>PLTUR PLATFORM TURIZM</t>
  </si>
  <si>
    <t>BRKVY BIRIKIM VARLIK YONETIM</t>
  </si>
  <si>
    <t>AHGAZ AHLATCI DOGALGAZ</t>
  </si>
  <si>
    <t>TERA TERA YATIRIM MENKUL DEGERLER</t>
  </si>
  <si>
    <t>EYGYO EYG GMYO</t>
  </si>
  <si>
    <t>AvatorAvator</t>
  </si>
  <si>
    <t>ONCSM ONCOSEM ONKOLOJIK SISTEMLER</t>
  </si>
  <si>
    <t>SDTTR SDT UZAY VE SAVUNMA</t>
  </si>
  <si>
    <t>TNZTP TAPDI TINAZTEPE</t>
  </si>
  <si>
    <t xml:space="preserve">2. Borsa </t>
  </si>
  <si>
    <t>3. Hisseler</t>
  </si>
  <si>
    <t>SOKE SOKE DEGIRMENCILIK</t>
  </si>
  <si>
    <t>Alınan Lot</t>
  </si>
  <si>
    <t>ASTOR ASTOR ENERJI</t>
  </si>
  <si>
    <t>HİSSE 1</t>
  </si>
  <si>
    <t>Hissenin Şuanki Ederi</t>
  </si>
  <si>
    <t>Hissenin Ortalama Maliyeti</t>
  </si>
  <si>
    <t>Hisseye Yatırılan Toplam Miktar</t>
  </si>
  <si>
    <t>Hissenin Şuanki Fiyatı</t>
  </si>
  <si>
    <t>Alınan Toplam Temettü</t>
  </si>
  <si>
    <t>Ödenen Komisyon</t>
  </si>
  <si>
    <t>Günlük Değişim Oranı</t>
  </si>
  <si>
    <t>HİSSE ALIM BİLGİLERİ</t>
  </si>
  <si>
    <t>Alım Tarihi</t>
  </si>
  <si>
    <t>Komisyon Oranı</t>
  </si>
  <si>
    <t>Yatırım Toplamı</t>
  </si>
  <si>
    <t>Nakit Olarak Çekilen Tutar</t>
  </si>
  <si>
    <t>Hisse Adı</t>
  </si>
  <si>
    <t>Hisse Fiyatı</t>
  </si>
  <si>
    <t>Günlük Değişim</t>
  </si>
  <si>
    <t>Hisse Sırası</t>
  </si>
  <si>
    <t>Hisse 1</t>
  </si>
  <si>
    <t>Hisse 2</t>
  </si>
  <si>
    <t>Hisse 3</t>
  </si>
  <si>
    <t>Hisse 4</t>
  </si>
  <si>
    <t>Hisse 5</t>
  </si>
  <si>
    <t>Hisse 6</t>
  </si>
  <si>
    <t>Hisse 7</t>
  </si>
  <si>
    <t>Hisse 8</t>
  </si>
  <si>
    <t>Hisse 9</t>
  </si>
  <si>
    <t>Hisse 10</t>
  </si>
  <si>
    <t>Hisse 11</t>
  </si>
  <si>
    <t>Hisse 12</t>
  </si>
  <si>
    <t>Hisse 13</t>
  </si>
  <si>
    <t>Hisse 14</t>
  </si>
  <si>
    <t>Hisse 15</t>
  </si>
  <si>
    <t>EREĞLİ</t>
  </si>
  <si>
    <t>Hisse Kodu
(Anlık veri sayfasındakinin Aynısını yazınız.)</t>
  </si>
  <si>
    <t>TEMETTÜ ALIM BİLGİLERİ</t>
  </si>
  <si>
    <t>Hisseye Geri Yatırılan Temettü</t>
  </si>
  <si>
    <t>UYARILAR</t>
  </si>
  <si>
    <t>Temettüyü hisseye geri yatırmak için yatırdığınız miktarı ve lot sayısını hisse alım bilgilerine giriniz.
Bedelsiz sermaye artırımında hisse alımına lot fiyatı 0 TL yazılıp gelen miktar lot olarak yazılır. 
Bedelli sermaye artırımında hisse fiyatına 1 TL (genellikle nominal değer) yazılıp gelen miktar lot olarak yazılır.
Örnek olarak 30 adet lot olan bir hisse %50 bedelli veya bedelsiz yaparsa
30x50/100= 15 adet hisse gelir. 
Bedelsiz yapıldıysa lot sayısına 15 fiyatına 0 yazılır.
Bedelli yapılırsa lot sayısına 15 fiyatına 1 TL yazılır.</t>
  </si>
  <si>
    <t>Hisse Kar Oranı</t>
  </si>
  <si>
    <t>Hisse8</t>
  </si>
  <si>
    <t>Hisse9</t>
  </si>
  <si>
    <t>Hisse10</t>
  </si>
  <si>
    <t>Hisse11</t>
  </si>
  <si>
    <t>Hisse12</t>
  </si>
  <si>
    <t>Hisse13</t>
  </si>
  <si>
    <t>Hisse14</t>
  </si>
  <si>
    <t>Hisse15</t>
  </si>
  <si>
    <t>Lot Sayısı</t>
  </si>
  <si>
    <t>Alınan Temettü</t>
  </si>
  <si>
    <t>Yatırım Kar Oranı %</t>
  </si>
  <si>
    <t>Toplam Yatırdığınız Miktar</t>
  </si>
  <si>
    <t>Toplam Kar Zarar Durumunuz</t>
  </si>
  <si>
    <t>Toplam Lot Sayınız</t>
  </si>
  <si>
    <t>Portföyünüzün Toplam Kar Oranı</t>
  </si>
  <si>
    <t>PORTFÖY TAKİP PROGRAMI V2</t>
  </si>
  <si>
    <t>Adı Soyadı</t>
  </si>
  <si>
    <t>Yatırıma Başladığı Tarih</t>
  </si>
  <si>
    <t>Hedef Tarihi</t>
  </si>
  <si>
    <t>Yatırıma Başladığı Para</t>
  </si>
  <si>
    <t>Hisse Senedi Yatırım Toplamı</t>
  </si>
  <si>
    <t>Toplam Gram</t>
  </si>
  <si>
    <t>Hedef Gram</t>
  </si>
  <si>
    <t>Altın Şuanki Fiyatı</t>
  </si>
  <si>
    <t>ALTIN</t>
  </si>
  <si>
    <t>Altın Kar Oranı</t>
  </si>
  <si>
    <t>Ortalama Maliyet</t>
  </si>
  <si>
    <t>Altının Şuanki Ederi</t>
  </si>
  <si>
    <t>Altına Yatırılan Toplam Miktar</t>
  </si>
  <si>
    <t>ALTIN SATIŞ BİLGİLERİ</t>
  </si>
  <si>
    <t>ALTIN ALIŞ BİLGİLERİ</t>
  </si>
  <si>
    <t>Satış Tarihi</t>
  </si>
  <si>
    <t>Satış Fiyatı</t>
  </si>
  <si>
    <t>Satılan Gram</t>
  </si>
  <si>
    <t>Saıtş Toplamı</t>
  </si>
  <si>
    <t>Alış Toplamı</t>
  </si>
  <si>
    <t>Alınan Gram</t>
  </si>
  <si>
    <t>Alış Fiyatı</t>
  </si>
  <si>
    <t>Aldığınız Toplam Temettü</t>
  </si>
  <si>
    <t>Altın Yatırım Toplamı</t>
  </si>
  <si>
    <t>Toplam Yatırım Miktarı</t>
  </si>
  <si>
    <t>Hisseye Yatırılan Miktar</t>
  </si>
  <si>
    <t>Toplam Altın Gramı</t>
  </si>
  <si>
    <t>Altının Toplam Kar Oranı</t>
  </si>
  <si>
    <t>Portföyünüzün Toplam Değeri</t>
  </si>
  <si>
    <t>Aldığınız Toplam Nakit Temettü</t>
  </si>
  <si>
    <t>Günlük
Değişim</t>
  </si>
  <si>
    <t>Toplam Altın Hedefi</t>
  </si>
  <si>
    <t>HİSSE 10</t>
  </si>
  <si>
    <t>HİSSE 9</t>
  </si>
  <si>
    <t>HİSSE 8</t>
  </si>
  <si>
    <t>HİSSE 7</t>
  </si>
  <si>
    <t>HİSSE 6</t>
  </si>
  <si>
    <t>HİSSE 5</t>
  </si>
  <si>
    <t>HİSSE 4</t>
  </si>
  <si>
    <t>HİSSE 3</t>
  </si>
  <si>
    <t>HİSSE 2</t>
  </si>
  <si>
    <t>HİSSE 11</t>
  </si>
  <si>
    <t>HİSSE 12</t>
  </si>
  <si>
    <t>HİSSE 13</t>
  </si>
  <si>
    <t>HİSSE 14</t>
  </si>
  <si>
    <t>HİSSE 15</t>
  </si>
  <si>
    <t>Ortalama Günlük Değişim</t>
  </si>
  <si>
    <t>Ödenen
Komisyon</t>
  </si>
  <si>
    <t>Ödenen Toplam Komisyon</t>
  </si>
  <si>
    <t>HİSSE SENEDİ TAKİP BİLGİLERİ</t>
  </si>
  <si>
    <t>Hisse Adı (İstediğiniz Şekilde Yazabilirsiniz. Portföyde görülecek isim)</t>
  </si>
  <si>
    <t>MACKO MACKOLIK INTERNET HIZMETLERI</t>
  </si>
  <si>
    <t>Toplam Kar Zarar Durumu</t>
  </si>
  <si>
    <t>Toplam Yatırım Kar Oranı</t>
  </si>
  <si>
    <r>
      <rPr>
        <sz val="24"/>
        <color theme="0"/>
        <rFont val="Arial"/>
        <family val="2"/>
        <charset val="162"/>
      </rPr>
      <t>Borsa; Sabırsızların, Sabırlılara Para Aktardığı Mekanizmadır.</t>
    </r>
    <r>
      <rPr>
        <sz val="18"/>
        <color theme="0"/>
        <rFont val="Arial"/>
        <family val="2"/>
        <charset val="162"/>
      </rPr>
      <t xml:space="preserve">
                                          Warren Buffet</t>
    </r>
  </si>
  <si>
    <t>Hisselerin Şuanki Toplam Ederi</t>
  </si>
  <si>
    <t>Altının Şuanki Toplam Ederi</t>
  </si>
  <si>
    <t>Toplam Yatırımın Şuanki Ederi</t>
  </si>
  <si>
    <t>Kanalımıza Abone Olmayı Unutmayın.
https://www.youtube.com/@YatirimSokagi</t>
  </si>
  <si>
    <t>BIST 100
Anlık Durum</t>
  </si>
  <si>
    <t>Ocak</t>
  </si>
  <si>
    <t>Şubat</t>
  </si>
  <si>
    <t>Mart</t>
  </si>
  <si>
    <t>Nisan</t>
  </si>
  <si>
    <t>Mayıs</t>
  </si>
  <si>
    <t>Haziran</t>
  </si>
  <si>
    <t>Temmuz</t>
  </si>
  <si>
    <t>Ağustos</t>
  </si>
  <si>
    <t>Eylül</t>
  </si>
  <si>
    <t>Ekim</t>
  </si>
  <si>
    <t>Kasım</t>
  </si>
  <si>
    <t>Aralık</t>
  </si>
  <si>
    <t>Aylar/Yıllar</t>
  </si>
  <si>
    <t>Yıllık Toplam</t>
  </si>
  <si>
    <t>Aylık Yatırım Miktarı</t>
  </si>
  <si>
    <t>Karatekin Ailesi</t>
  </si>
  <si>
    <t>AKSA</t>
  </si>
  <si>
    <t>ALKIM</t>
  </si>
  <si>
    <t>Deprem Yardım AğıDeprem Yardım Ağı</t>
  </si>
  <si>
    <t>Canlı SkorCanlı Skor</t>
  </si>
  <si>
    <t>Günlük GazetelerGünlük Gazeteler</t>
  </si>
  <si>
    <t>Nöbetçi EczanelerNöbetçi Eczaneler</t>
  </si>
  <si>
    <t>Finans ÇeviriciFinans Çevirici</t>
  </si>
  <si>
    <t>BVSAN BULBULOGLU VINC</t>
  </si>
  <si>
    <t>ISDMR</t>
  </si>
  <si>
    <t>SASA</t>
  </si>
  <si>
    <t>TTRAK</t>
  </si>
  <si>
    <t>VESBE</t>
  </si>
  <si>
    <t>1. Finans</t>
  </si>
  <si>
    <t>İndirim Rehberiİndirim Rehberi</t>
  </si>
  <si>
    <t>GOKNR GOKNUR GIDA</t>
  </si>
  <si>
    <t xml:space="preserve">BIST 5.063,90 %-1,41 </t>
  </si>
  <si>
    <t xml:space="preserve">Dolar 19,0124 %-0,01 </t>
  </si>
  <si>
    <t xml:space="preserve">Euro 20,2875 %0,09 </t>
  </si>
  <si>
    <t xml:space="preserve">Parite 1,0665 %-0,01 </t>
  </si>
  <si>
    <t xml:space="preserve">Altın 1.215,5790 %-0,06 </t>
  </si>
  <si>
    <t>AKFYE AKFEN YEN. ENERJI</t>
  </si>
  <si>
    <t>KATMRR KATMERCILER EKIPMAN - RHKP</t>
  </si>
  <si>
    <t>953 bin TL’ye Togg yok! Asıl fiyatlar Kasım ayında…</t>
  </si>
  <si>
    <t xml:space="preserve">953 bin TL’ye Togg yok! Asıl fiyatlar Kasım ayında… </t>
  </si>
  <si>
    <t>İstanbul TOKİ Tuzla kura sonuçları isim listesi açıklandı mı?</t>
  </si>
  <si>
    <t xml:space="preserve">İstanbul TOKİ Tuzla kura sonuçları isim listesi açıklandı mı? </t>
  </si>
  <si>
    <t>Togg önsipariş için 60 bin TL şartı!</t>
  </si>
  <si>
    <t xml:space="preserve">Togg önsipariş için 60 bin TL şartı!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</si>
</sst>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00"/>
    <numFmt numFmtId="165" formatCode="[$-F800]dddd\,\ mmmm\ dd\,\ yyyy"/>
    <numFmt numFmtId="166" formatCode="0.0"/>
  </numFmts>
  <fonts count="41" x14ac:knownFonts="1">
    <font>
      <sz val="11"/>
      <color theme="1"/>
      <name val="Calibri"/>
      <family val="2"/>
      <charset val="162"/>
      <scheme val="minor"/>
    </font>
    <font>
      <b/>
      <sz val="11"/>
      <color theme="1"/>
      <name val="Calibri"/>
      <family val="2"/>
      <charset val="162"/>
      <scheme val="minor"/>
    </font>
    <font>
      <b/>
      <sz val="12"/>
      <color theme="1"/>
      <name val="Calibri"/>
      <family val="2"/>
      <charset val="162"/>
      <scheme val="minor"/>
    </font>
    <font>
      <b/>
      <sz val="14"/>
      <color theme="1"/>
      <name val="Calibri"/>
      <family val="2"/>
      <charset val="162"/>
      <scheme val="minor"/>
    </font>
    <font>
      <b/>
      <sz val="16"/>
      <color theme="1"/>
      <name val="Calibri"/>
      <family val="2"/>
      <charset val="162"/>
      <scheme val="minor"/>
    </font>
    <font>
      <b/>
      <sz val="18"/>
      <color theme="1"/>
      <name val="Calibri"/>
      <family val="2"/>
      <charset val="162"/>
      <scheme val="minor"/>
    </font>
    <font>
      <sz val="12"/>
      <color theme="1"/>
      <name val="Calibri"/>
      <family val="2"/>
      <charset val="162"/>
      <scheme val="minor"/>
    </font>
    <font>
      <b/>
      <sz val="22"/>
      <color theme="0"/>
      <name val="Calibri"/>
      <family val="2"/>
      <charset val="162"/>
      <scheme val="minor"/>
    </font>
    <font>
      <sz val="16"/>
      <color theme="1"/>
      <name val="Calibri"/>
      <family val="2"/>
      <charset val="162"/>
      <scheme val="minor"/>
    </font>
    <font>
      <b/>
      <sz val="16"/>
      <color rgb="FFFF0000"/>
      <name val="Calibri"/>
      <family val="2"/>
      <charset val="162"/>
      <scheme val="minor"/>
    </font>
    <font>
      <b/>
      <sz val="14"/>
      <color theme="0"/>
      <name val="Calibri"/>
      <family val="2"/>
      <charset val="162"/>
      <scheme val="minor"/>
    </font>
    <font>
      <b/>
      <sz val="20"/>
      <color theme="0"/>
      <name val="Calibri"/>
      <family val="2"/>
      <charset val="162"/>
      <scheme val="minor"/>
    </font>
    <font>
      <sz val="11"/>
      <name val="Calibri"/>
      <family val="2"/>
      <charset val="162"/>
      <scheme val="minor"/>
    </font>
    <font>
      <sz val="11"/>
      <color theme="1"/>
      <name val="Calibri"/>
      <family val="2"/>
      <scheme val="minor"/>
    </font>
    <font>
      <b/>
      <sz val="14"/>
      <color theme="0" tint="-4.9989318521683403E-2"/>
      <name val="Calibri"/>
      <family val="2"/>
      <charset val="162"/>
      <scheme val="minor"/>
    </font>
    <font>
      <sz val="16"/>
      <color theme="1"/>
      <name val="Calibri"/>
      <family val="2"/>
      <scheme val="minor"/>
    </font>
    <font>
      <sz val="11"/>
      <color theme="1"/>
      <name val="Calibri"/>
      <family val="2"/>
      <charset val="162"/>
      <scheme val="minor"/>
    </font>
    <font>
      <b/>
      <sz val="20"/>
      <color rgb="FFFF0000"/>
      <name val="Arial Black"/>
      <family val="2"/>
      <charset val="162"/>
    </font>
    <font>
      <b/>
      <sz val="20"/>
      <color theme="0"/>
      <name val="Arial Black"/>
      <family val="2"/>
      <charset val="162"/>
    </font>
    <font>
      <b/>
      <sz val="26"/>
      <name val="Arial Black"/>
      <family val="2"/>
      <charset val="162"/>
    </font>
    <font>
      <b/>
      <sz val="14"/>
      <color theme="0"/>
      <name val="Arial Black"/>
      <family val="2"/>
      <charset val="162"/>
    </font>
    <font>
      <sz val="14"/>
      <color theme="1"/>
      <name val="Calibri"/>
      <family val="2"/>
      <charset val="162"/>
      <scheme val="minor"/>
    </font>
    <font>
      <b/>
      <sz val="16"/>
      <color theme="0"/>
      <name val="Arial Black"/>
      <family val="2"/>
      <charset val="162"/>
    </font>
    <font>
      <b/>
      <sz val="20"/>
      <name val="Arial Black"/>
      <family val="2"/>
      <charset val="162"/>
    </font>
    <font>
      <b/>
      <sz val="12"/>
      <color theme="0"/>
      <name val="Arial Black"/>
      <family val="2"/>
      <charset val="162"/>
    </font>
    <font>
      <sz val="11"/>
      <name val="Arial Black"/>
      <family val="2"/>
      <charset val="162"/>
    </font>
    <font>
      <b/>
      <sz val="14"/>
      <name val="Calibri"/>
      <family val="2"/>
      <charset val="162"/>
      <scheme val="minor"/>
    </font>
    <font>
      <b/>
      <sz val="26"/>
      <color theme="0"/>
      <name val="Arial Black"/>
      <family val="2"/>
      <charset val="162"/>
    </font>
    <font>
      <b/>
      <sz val="20"/>
      <color theme="1"/>
      <name val="Calibri"/>
      <family val="2"/>
      <charset val="162"/>
      <scheme val="minor"/>
    </font>
    <font>
      <b/>
      <sz val="18"/>
      <color theme="0"/>
      <name val="Arial Black"/>
      <family val="2"/>
      <charset val="162"/>
    </font>
    <font>
      <b/>
      <sz val="18"/>
      <name val="Calibri"/>
      <family val="2"/>
      <charset val="162"/>
      <scheme val="minor"/>
    </font>
    <font>
      <b/>
      <sz val="20"/>
      <name val="Calibri"/>
      <family val="2"/>
      <charset val="162"/>
      <scheme val="minor"/>
    </font>
    <font>
      <sz val="11"/>
      <color theme="1" tint="0.249977111117893"/>
      <name val="Calibri"/>
      <family val="2"/>
      <charset val="162"/>
      <scheme val="minor"/>
    </font>
    <font>
      <b/>
      <sz val="16"/>
      <name val="Calibri"/>
      <family val="2"/>
      <charset val="162"/>
      <scheme val="minor"/>
    </font>
    <font>
      <b/>
      <sz val="26"/>
      <color theme="0"/>
      <name val="Calibri"/>
      <family val="2"/>
      <charset val="162"/>
      <scheme val="minor"/>
    </font>
    <font>
      <b/>
      <sz val="12"/>
      <color theme="0"/>
      <name val="Calibri"/>
      <family val="2"/>
      <charset val="162"/>
      <scheme val="minor"/>
    </font>
    <font>
      <sz val="18"/>
      <color theme="0"/>
      <name val="Arial"/>
      <family val="2"/>
      <charset val="162"/>
    </font>
    <font>
      <sz val="24"/>
      <color theme="0"/>
      <name val="Arial"/>
      <family val="2"/>
      <charset val="162"/>
    </font>
    <font>
      <b/>
      <sz val="24"/>
      <color theme="0"/>
      <name val="Arial Black"/>
      <family val="2"/>
      <charset val="162"/>
    </font>
    <font>
      <sz val="16"/>
      <name val="Arial"/>
      <family val="2"/>
      <charset val="162"/>
    </font>
    <font>
      <b/>
      <sz val="36"/>
      <color theme="0"/>
      <name val="Arial Black"/>
      <family val="2"/>
      <charset val="162"/>
    </font>
  </fonts>
  <fills count="25">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rgb="FFFFFF66"/>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2" tint="-0.749992370372631"/>
        <bgColor indexed="64"/>
      </patternFill>
    </fill>
    <fill>
      <patternFill patternType="solid">
        <fgColor theme="4" tint="0.39997558519241921"/>
        <bgColor indexed="64"/>
      </patternFill>
    </fill>
    <fill>
      <patternFill patternType="solid">
        <fgColor theme="1" tint="0.34998626667073579"/>
        <bgColor indexed="64"/>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99FF66"/>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1" tint="0.149998474074526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1111"/>
        <bgColor indexed="64"/>
      </patternFill>
    </fill>
  </fills>
  <borders count="5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bottom style="thin">
        <color indexed="64"/>
      </bottom>
      <diagonal/>
    </border>
    <border>
      <left style="medium">
        <color indexed="64"/>
      </left>
      <right/>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rgb="FFFF0000"/>
      </left>
      <right style="thin">
        <color rgb="FFFF0000"/>
      </right>
      <top style="medium">
        <color rgb="FFFF0000"/>
      </top>
      <bottom style="thin">
        <color rgb="FFFF0000"/>
      </bottom>
      <diagonal/>
    </border>
    <border>
      <left style="thin">
        <color rgb="FFFF0000"/>
      </left>
      <right style="thin">
        <color rgb="FFFF0000"/>
      </right>
      <top style="medium">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thin">
        <color rgb="FFFF0000"/>
      </right>
      <top style="thin">
        <color rgb="FFFF0000"/>
      </top>
      <bottom style="medium">
        <color rgb="FFFF0000"/>
      </bottom>
      <diagonal/>
    </border>
    <border>
      <left style="thin">
        <color rgb="FFFF0000"/>
      </left>
      <right style="thin">
        <color rgb="FFFF0000"/>
      </right>
      <top/>
      <bottom/>
      <diagonal/>
    </border>
    <border>
      <left style="thin">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thin">
        <color rgb="FFFF0000"/>
      </left>
      <right/>
      <top/>
      <bottom style="thin">
        <color indexed="64"/>
      </bottom>
      <diagonal/>
    </border>
    <border>
      <left/>
      <right style="medium">
        <color rgb="FFFF0000"/>
      </right>
      <top/>
      <bottom style="thin">
        <color indexed="64"/>
      </bottom>
      <diagonal/>
    </border>
    <border>
      <left style="thin">
        <color rgb="FFFF0000"/>
      </left>
      <right/>
      <top style="thin">
        <color indexed="64"/>
      </top>
      <bottom style="medium">
        <color rgb="FFFF0000"/>
      </bottom>
      <diagonal/>
    </border>
    <border>
      <left/>
      <right/>
      <top style="thin">
        <color indexed="64"/>
      </top>
      <bottom style="medium">
        <color rgb="FFFF0000"/>
      </bottom>
      <diagonal/>
    </border>
    <border>
      <left/>
      <right style="medium">
        <color rgb="FFFF0000"/>
      </right>
      <top style="thin">
        <color indexed="64"/>
      </top>
      <bottom style="medium">
        <color rgb="FFFF0000"/>
      </bottom>
      <diagonal/>
    </border>
    <border>
      <left style="medium">
        <color rgb="FFFF0000"/>
      </left>
      <right/>
      <top style="medium">
        <color rgb="FFFF0000"/>
      </top>
      <bottom style="thin">
        <color indexed="64"/>
      </bottom>
      <diagonal/>
    </border>
    <border>
      <left/>
      <right/>
      <top style="medium">
        <color rgb="FFFF0000"/>
      </top>
      <bottom style="thin">
        <color indexed="64"/>
      </bottom>
      <diagonal/>
    </border>
    <border>
      <left/>
      <right style="medium">
        <color rgb="FFFF0000"/>
      </right>
      <top style="medium">
        <color rgb="FFFF0000"/>
      </top>
      <bottom style="thin">
        <color indexed="64"/>
      </bottom>
      <diagonal/>
    </border>
    <border>
      <left style="medium">
        <color rgb="FFFF0000"/>
      </left>
      <right/>
      <top style="thin">
        <color indexed="64"/>
      </top>
      <bottom style="thin">
        <color indexed="64"/>
      </bottom>
      <diagonal/>
    </border>
    <border>
      <left/>
      <right style="medium">
        <color rgb="FFFF0000"/>
      </right>
      <top style="thin">
        <color indexed="64"/>
      </top>
      <bottom style="thin">
        <color indexed="64"/>
      </bottom>
      <diagonal/>
    </border>
    <border>
      <left style="medium">
        <color rgb="FFFF0000"/>
      </left>
      <right style="thin">
        <color indexed="64"/>
      </right>
      <top style="thin">
        <color indexed="64"/>
      </top>
      <bottom/>
      <diagonal/>
    </border>
    <border>
      <left style="thin">
        <color indexed="64"/>
      </left>
      <right style="medium">
        <color rgb="FFFF0000"/>
      </right>
      <top style="thin">
        <color indexed="64"/>
      </top>
      <bottom/>
      <diagonal/>
    </border>
  </borders>
  <cellStyleXfs count="4">
    <xf numFmtId="0" fontId="0" fillId="0" borderId="0"/>
    <xf numFmtId="0" fontId="13" fillId="0" borderId="0"/>
    <xf numFmtId="9" fontId="13" fillId="0" borderId="0" applyFont="0" applyFill="0" applyBorder="0" applyAlignment="0" applyProtection="0"/>
    <xf numFmtId="9" fontId="16" fillId="0" borderId="0" applyFont="0" applyFill="0" applyBorder="0" applyAlignment="0" applyProtection="0"/>
  </cellStyleXfs>
  <cellXfs count="348">
    <xf numFmtId="0" fontId="0" fillId="0" borderId="0" xfId="0"/>
    <xf numFmtId="0" fontId="0" fillId="0" borderId="0" xfId="0" applyAlignment="1">
      <alignment horizontal="center" vertical="center"/>
    </xf>
    <xf numFmtId="20" fontId="0" fillId="0" borderId="0" xfId="0" applyNumberFormat="1"/>
    <xf numFmtId="4" fontId="0" fillId="0" borderId="0" xfId="0" applyNumberFormat="1"/>
    <xf numFmtId="0" fontId="1" fillId="0" borderId="0" xfId="0" applyFont="1" applyAlignment="1">
      <alignment horizontal="center" vertical="center"/>
    </xf>
    <xf numFmtId="0" fontId="1" fillId="0" borderId="0" xfId="0" applyFont="1" applyAlignment="1">
      <alignment horizontal="center" vertical="center" wrapText="1"/>
    </xf>
    <xf numFmtId="0" fontId="2" fillId="0" borderId="0" xfId="0" applyFont="1"/>
    <xf numFmtId="0" fontId="2" fillId="0" borderId="0" xfId="0" applyFont="1" applyAlignment="1">
      <alignment horizontal="center" vertical="center"/>
    </xf>
    <xf numFmtId="0" fontId="0" fillId="0" borderId="0" xfId="0" applyFont="1" applyAlignment="1">
      <alignment horizontal="center" vertical="center"/>
    </xf>
    <xf numFmtId="0" fontId="6" fillId="0" borderId="0" xfId="0" applyFont="1"/>
    <xf numFmtId="0" fontId="8" fillId="0" borderId="0" xfId="0" applyFont="1"/>
    <xf numFmtId="0" fontId="12" fillId="0" borderId="0" xfId="0" applyFont="1"/>
    <xf numFmtId="0" fontId="13" fillId="0" borderId="0" xfId="1"/>
    <xf numFmtId="0" fontId="5" fillId="0" borderId="0" xfId="1" applyFont="1" applyFill="1" applyAlignment="1">
      <alignment vertical="center"/>
    </xf>
    <xf numFmtId="0" fontId="15" fillId="5" borderId="5" xfId="1" applyFont="1" applyFill="1" applyBorder="1" applyAlignment="1">
      <alignment horizontal="center" vertical="center"/>
    </xf>
    <xf numFmtId="0" fontId="15" fillId="6" borderId="5" xfId="1" applyFont="1" applyFill="1" applyBorder="1" applyAlignment="1">
      <alignment horizontal="center" vertical="center"/>
    </xf>
    <xf numFmtId="0" fontId="13" fillId="0" borderId="0" xfId="1" applyAlignment="1">
      <alignment horizontal="center" vertical="center"/>
    </xf>
    <xf numFmtId="0" fontId="13" fillId="0" borderId="0" xfId="1" applyAlignment="1">
      <alignment horizontal="center" vertical="center"/>
    </xf>
    <xf numFmtId="10" fontId="0" fillId="0" borderId="0" xfId="3" applyNumberFormat="1" applyFont="1"/>
    <xf numFmtId="0" fontId="1" fillId="0" borderId="5" xfId="0" applyFont="1" applyBorder="1" applyAlignment="1">
      <alignment horizontal="center" vertical="center"/>
    </xf>
    <xf numFmtId="0" fontId="0" fillId="0" borderId="5" xfId="0" applyBorder="1" applyAlignment="1">
      <alignment horizontal="center" vertical="center"/>
    </xf>
    <xf numFmtId="10" fontId="0" fillId="0" borderId="5" xfId="3" applyNumberFormat="1" applyFont="1" applyBorder="1" applyAlignment="1">
      <alignment horizontal="center" vertical="center"/>
    </xf>
    <xf numFmtId="0" fontId="15" fillId="10" borderId="5" xfId="1" applyFont="1" applyFill="1" applyBorder="1" applyAlignment="1">
      <alignment horizontal="center" vertical="center"/>
    </xf>
    <xf numFmtId="10" fontId="15" fillId="10" borderId="5" xfId="1" applyNumberFormat="1" applyFont="1" applyFill="1" applyBorder="1" applyAlignment="1" applyProtection="1">
      <alignment vertical="center"/>
      <protection locked="0"/>
    </xf>
    <xf numFmtId="10" fontId="15" fillId="6" borderId="5" xfId="1" applyNumberFormat="1" applyFont="1" applyFill="1" applyBorder="1" applyAlignment="1" applyProtection="1">
      <alignment vertical="center"/>
      <protection locked="0"/>
    </xf>
    <xf numFmtId="14" fontId="0" fillId="0" borderId="0" xfId="0" applyNumberFormat="1" applyAlignment="1">
      <alignment vertical="center"/>
    </xf>
    <xf numFmtId="2" fontId="0" fillId="0" borderId="0" xfId="0" applyNumberFormat="1" applyAlignment="1">
      <alignment vertical="center"/>
    </xf>
    <xf numFmtId="14" fontId="0" fillId="0" borderId="5" xfId="0" applyNumberFormat="1" applyBorder="1" applyAlignment="1">
      <alignment horizontal="center" vertical="center"/>
    </xf>
    <xf numFmtId="164" fontId="0" fillId="0" borderId="0" xfId="0" applyNumberFormat="1"/>
    <xf numFmtId="0" fontId="24" fillId="7" borderId="0" xfId="0" applyFont="1" applyFill="1" applyBorder="1" applyAlignment="1">
      <alignment horizontal="center" vertical="center"/>
    </xf>
    <xf numFmtId="0" fontId="22" fillId="3" borderId="0" xfId="0" applyFont="1" applyFill="1" applyBorder="1" applyAlignment="1">
      <alignment horizontal="center" vertical="center"/>
    </xf>
    <xf numFmtId="0" fontId="19" fillId="3" borderId="0" xfId="0" applyFont="1" applyFill="1" applyBorder="1" applyAlignment="1">
      <alignment vertical="center"/>
    </xf>
    <xf numFmtId="165" fontId="20" fillId="3" borderId="0" xfId="0" applyNumberFormat="1" applyFont="1" applyFill="1" applyBorder="1" applyAlignment="1">
      <alignment horizontal="center" vertical="center"/>
    </xf>
    <xf numFmtId="0" fontId="0" fillId="3" borderId="0" xfId="0" applyFill="1" applyBorder="1"/>
    <xf numFmtId="0" fontId="18" fillId="0" borderId="0" xfId="0" applyFont="1" applyFill="1" applyBorder="1" applyAlignment="1">
      <alignment horizontal="center" vertical="center"/>
    </xf>
    <xf numFmtId="0" fontId="19" fillId="0" borderId="0" xfId="0" applyFont="1" applyFill="1" applyBorder="1" applyAlignment="1">
      <alignment vertical="center"/>
    </xf>
    <xf numFmtId="165" fontId="20" fillId="0" borderId="0" xfId="0" applyNumberFormat="1" applyFont="1" applyFill="1" applyBorder="1" applyAlignment="1">
      <alignment horizontal="center" vertical="center"/>
    </xf>
    <xf numFmtId="0" fontId="22" fillId="0" borderId="0" xfId="0" applyFont="1" applyFill="1" applyBorder="1" applyAlignment="1">
      <alignment vertical="center"/>
    </xf>
    <xf numFmtId="0" fontId="24" fillId="0" borderId="0" xfId="0" applyFont="1" applyFill="1" applyBorder="1" applyAlignment="1">
      <alignment horizontal="center" vertical="center"/>
    </xf>
    <xf numFmtId="0" fontId="0" fillId="0" borderId="0" xfId="0" applyFill="1"/>
    <xf numFmtId="0" fontId="33" fillId="13" borderId="13" xfId="0" applyFont="1" applyFill="1" applyBorder="1" applyAlignment="1" applyProtection="1">
      <alignment horizontal="center" vertical="center" wrapText="1"/>
    </xf>
    <xf numFmtId="0" fontId="0" fillId="0" borderId="0" xfId="0" applyProtection="1"/>
    <xf numFmtId="0" fontId="21" fillId="12" borderId="5" xfId="0" applyFont="1" applyFill="1" applyBorder="1" applyAlignment="1" applyProtection="1">
      <alignment horizontal="center" vertical="center"/>
    </xf>
    <xf numFmtId="1" fontId="21" fillId="12" borderId="5" xfId="0" applyNumberFormat="1" applyFont="1" applyFill="1" applyBorder="1" applyAlignment="1" applyProtection="1">
      <alignment horizontal="center" vertical="center"/>
    </xf>
    <xf numFmtId="0" fontId="0" fillId="12" borderId="5" xfId="0" applyFill="1" applyBorder="1" applyAlignment="1" applyProtection="1">
      <alignment horizontal="center" vertical="center"/>
    </xf>
    <xf numFmtId="164" fontId="8" fillId="12" borderId="5" xfId="0" applyNumberFormat="1" applyFont="1" applyFill="1" applyBorder="1" applyAlignment="1" applyProtection="1">
      <alignment horizontal="center" vertical="center"/>
    </xf>
    <xf numFmtId="164" fontId="21" fillId="12" borderId="5" xfId="0" applyNumberFormat="1" applyFont="1" applyFill="1" applyBorder="1" applyAlignment="1" applyProtection="1">
      <alignment horizontal="center" vertical="center"/>
    </xf>
    <xf numFmtId="10" fontId="21" fillId="12" borderId="5" xfId="0" applyNumberFormat="1" applyFont="1" applyFill="1" applyBorder="1" applyAlignment="1" applyProtection="1">
      <alignment horizontal="center" vertical="center"/>
    </xf>
    <xf numFmtId="164" fontId="3" fillId="12" borderId="5" xfId="0" applyNumberFormat="1" applyFont="1" applyFill="1" applyBorder="1" applyAlignment="1" applyProtection="1">
      <alignment horizontal="center" vertical="center"/>
    </xf>
    <xf numFmtId="0" fontId="21" fillId="14" borderId="5" xfId="0" applyFont="1" applyFill="1" applyBorder="1" applyAlignment="1" applyProtection="1">
      <alignment horizontal="center" vertical="center"/>
    </xf>
    <xf numFmtId="1" fontId="21" fillId="14" borderId="5" xfId="0" applyNumberFormat="1" applyFont="1" applyFill="1" applyBorder="1" applyAlignment="1" applyProtection="1">
      <alignment horizontal="center" vertical="center"/>
    </xf>
    <xf numFmtId="0" fontId="0" fillId="14" borderId="5" xfId="0" applyFill="1" applyBorder="1" applyAlignment="1" applyProtection="1">
      <alignment horizontal="center" vertical="center"/>
    </xf>
    <xf numFmtId="164" fontId="8" fillId="14" borderId="5" xfId="0" applyNumberFormat="1" applyFont="1" applyFill="1" applyBorder="1" applyAlignment="1" applyProtection="1">
      <alignment horizontal="center" vertical="center"/>
    </xf>
    <xf numFmtId="164" fontId="21" fillId="14" borderId="5" xfId="0" applyNumberFormat="1" applyFont="1" applyFill="1" applyBorder="1" applyAlignment="1" applyProtection="1">
      <alignment horizontal="center" vertical="center"/>
    </xf>
    <xf numFmtId="9" fontId="21" fillId="14" borderId="5" xfId="0" applyNumberFormat="1" applyFont="1" applyFill="1" applyBorder="1" applyAlignment="1" applyProtection="1">
      <alignment horizontal="center" vertical="center"/>
    </xf>
    <xf numFmtId="10" fontId="21" fillId="14" borderId="5" xfId="0" applyNumberFormat="1" applyFont="1" applyFill="1" applyBorder="1" applyAlignment="1" applyProtection="1">
      <alignment horizontal="center" vertical="center"/>
    </xf>
    <xf numFmtId="9" fontId="21" fillId="12" borderId="5" xfId="0" applyNumberFormat="1" applyFont="1" applyFill="1" applyBorder="1" applyAlignment="1" applyProtection="1">
      <alignment horizontal="center" vertical="center"/>
    </xf>
    <xf numFmtId="0" fontId="0" fillId="12" borderId="0" xfId="0" applyFill="1" applyAlignment="1" applyProtection="1">
      <alignment horizontal="center" vertical="center"/>
    </xf>
    <xf numFmtId="0" fontId="32" fillId="0" borderId="0" xfId="0" applyFont="1" applyProtection="1"/>
    <xf numFmtId="0" fontId="5" fillId="0" borderId="0" xfId="1" applyFont="1" applyFill="1" applyAlignment="1" applyProtection="1">
      <alignment vertical="center"/>
    </xf>
    <xf numFmtId="0" fontId="13" fillId="0" borderId="0" xfId="1" applyProtection="1"/>
    <xf numFmtId="0" fontId="15" fillId="10" borderId="5" xfId="1" applyFont="1" applyFill="1" applyBorder="1" applyAlignment="1" applyProtection="1">
      <alignment horizontal="center" vertical="center"/>
    </xf>
    <xf numFmtId="0" fontId="15" fillId="5" borderId="5" xfId="1" applyFont="1" applyFill="1" applyBorder="1" applyAlignment="1" applyProtection="1">
      <alignment horizontal="center" vertical="center"/>
    </xf>
    <xf numFmtId="164" fontId="13" fillId="0" borderId="0" xfId="1" applyNumberFormat="1" applyProtection="1"/>
    <xf numFmtId="0" fontId="35" fillId="22" borderId="5" xfId="0" applyFont="1" applyFill="1" applyBorder="1" applyAlignment="1">
      <alignment horizontal="center" vertical="center"/>
    </xf>
    <xf numFmtId="0" fontId="35" fillId="22" borderId="5" xfId="0" applyFont="1" applyFill="1" applyBorder="1" applyAlignment="1">
      <alignment horizontal="center" vertical="center" wrapText="1"/>
    </xf>
    <xf numFmtId="0" fontId="1" fillId="23" borderId="5" xfId="0" applyFont="1" applyFill="1" applyBorder="1" applyAlignment="1">
      <alignment horizontal="center" vertical="center"/>
    </xf>
    <xf numFmtId="0" fontId="0" fillId="23" borderId="5" xfId="0" applyFill="1" applyBorder="1" applyAlignment="1">
      <alignment horizontal="center" vertical="center"/>
    </xf>
    <xf numFmtId="10" fontId="0" fillId="23" borderId="5" xfId="3" applyNumberFormat="1" applyFont="1" applyFill="1" applyBorder="1" applyAlignment="1">
      <alignment horizontal="center" vertical="center"/>
    </xf>
    <xf numFmtId="0" fontId="0" fillId="0" borderId="5" xfId="0" applyBorder="1" applyAlignment="1" applyProtection="1">
      <alignment horizontal="center" vertical="center"/>
      <protection locked="0"/>
    </xf>
    <xf numFmtId="0" fontId="0" fillId="23" borderId="5" xfId="0" applyFill="1" applyBorder="1" applyAlignment="1" applyProtection="1">
      <alignment horizontal="center" vertical="center"/>
      <protection locked="0"/>
    </xf>
    <xf numFmtId="0" fontId="0" fillId="0" borderId="0" xfId="0" applyProtection="1">
      <protection locked="0"/>
    </xf>
    <xf numFmtId="0" fontId="22" fillId="24" borderId="5" xfId="0" applyFont="1" applyFill="1" applyBorder="1" applyAlignment="1">
      <alignment vertical="center" wrapText="1"/>
    </xf>
    <xf numFmtId="164" fontId="0" fillId="0" borderId="5" xfId="0" applyNumberFormat="1" applyBorder="1" applyAlignment="1">
      <alignment horizontal="center" vertical="center"/>
    </xf>
    <xf numFmtId="0" fontId="1" fillId="13" borderId="5" xfId="0" applyFont="1" applyFill="1" applyBorder="1" applyAlignment="1">
      <alignment horizontal="center" vertical="center"/>
    </xf>
    <xf numFmtId="164" fontId="0" fillId="13" borderId="5" xfId="0" applyNumberFormat="1" applyFill="1" applyBorder="1" applyAlignment="1">
      <alignment horizontal="center" vertical="center"/>
    </xf>
    <xf numFmtId="0" fontId="34" fillId="7" borderId="15" xfId="0" applyFont="1" applyFill="1" applyBorder="1" applyAlignment="1" applyProtection="1">
      <alignment horizontal="center" vertical="center"/>
    </xf>
    <xf numFmtId="0" fontId="34" fillId="7" borderId="28" xfId="0" applyFont="1" applyFill="1" applyBorder="1" applyAlignment="1" applyProtection="1">
      <alignment horizontal="center" vertical="center"/>
    </xf>
    <xf numFmtId="0" fontId="34" fillId="7" borderId="16" xfId="0" applyFont="1" applyFill="1" applyBorder="1" applyAlignment="1" applyProtection="1">
      <alignment horizontal="center" vertical="center"/>
    </xf>
    <xf numFmtId="0" fontId="34" fillId="7" borderId="17" xfId="0" applyFont="1" applyFill="1" applyBorder="1" applyAlignment="1" applyProtection="1">
      <alignment horizontal="center" vertical="center"/>
    </xf>
    <xf numFmtId="0" fontId="34" fillId="7" borderId="0" xfId="0" applyFont="1" applyFill="1" applyBorder="1" applyAlignment="1" applyProtection="1">
      <alignment horizontal="center" vertical="center"/>
    </xf>
    <xf numFmtId="0" fontId="34" fillId="7" borderId="35" xfId="0" applyFont="1" applyFill="1" applyBorder="1" applyAlignment="1" applyProtection="1">
      <alignment horizontal="center" vertical="center"/>
    </xf>
    <xf numFmtId="0" fontId="34" fillId="7" borderId="29" xfId="0" applyFont="1" applyFill="1" applyBorder="1" applyAlignment="1" applyProtection="1">
      <alignment horizontal="center" vertical="center"/>
    </xf>
    <xf numFmtId="0" fontId="34" fillId="7" borderId="27" xfId="0" applyFont="1" applyFill="1" applyBorder="1" applyAlignment="1" applyProtection="1">
      <alignment horizontal="center" vertical="center"/>
    </xf>
    <xf numFmtId="164" fontId="1" fillId="13" borderId="5" xfId="0" applyNumberFormat="1" applyFont="1" applyFill="1" applyBorder="1" applyAlignment="1">
      <alignment horizontal="center" vertical="center"/>
    </xf>
    <xf numFmtId="164" fontId="1" fillId="0" borderId="5" xfId="0" applyNumberFormat="1" applyFont="1" applyBorder="1" applyAlignment="1">
      <alignment horizontal="center" vertical="center"/>
    </xf>
    <xf numFmtId="0" fontId="9" fillId="0" borderId="0" xfId="0" applyFont="1" applyAlignment="1">
      <alignment horizontal="center" vertical="center"/>
    </xf>
    <xf numFmtId="0" fontId="18" fillId="21" borderId="54" xfId="0" applyFont="1" applyFill="1" applyBorder="1" applyAlignment="1">
      <alignment horizontal="center" vertical="center"/>
    </xf>
    <xf numFmtId="0" fontId="18" fillId="21" borderId="12" xfId="0" applyFont="1" applyFill="1" applyBorder="1" applyAlignment="1">
      <alignment horizontal="center" vertical="center"/>
    </xf>
    <xf numFmtId="0" fontId="18" fillId="18" borderId="5" xfId="0" applyFont="1" applyFill="1" applyBorder="1" applyAlignment="1">
      <alignment horizontal="center" vertical="center"/>
    </xf>
    <xf numFmtId="164" fontId="29" fillId="18" borderId="5" xfId="0" applyNumberFormat="1" applyFont="1" applyFill="1" applyBorder="1" applyAlignment="1">
      <alignment horizontal="center" vertical="center"/>
    </xf>
    <xf numFmtId="164" fontId="23" fillId="20" borderId="5" xfId="0" applyNumberFormat="1" applyFont="1" applyFill="1" applyBorder="1" applyAlignment="1">
      <alignment horizontal="center" vertical="center"/>
    </xf>
    <xf numFmtId="0" fontId="18" fillId="21" borderId="34" xfId="0" applyFont="1" applyFill="1" applyBorder="1" applyAlignment="1">
      <alignment horizontal="center" vertical="center"/>
    </xf>
    <xf numFmtId="0" fontId="18" fillId="21" borderId="55" xfId="0" applyFont="1" applyFill="1" applyBorder="1" applyAlignment="1">
      <alignment horizontal="center" vertical="center"/>
    </xf>
    <xf numFmtId="0" fontId="36" fillId="2" borderId="41" xfId="0" applyFont="1" applyFill="1" applyBorder="1" applyAlignment="1">
      <alignment horizontal="center" vertical="center" wrapText="1"/>
    </xf>
    <xf numFmtId="0" fontId="36" fillId="2" borderId="42" xfId="0" applyFont="1" applyFill="1" applyBorder="1" applyAlignment="1">
      <alignment horizontal="center" vertical="center" wrapText="1"/>
    </xf>
    <xf numFmtId="0" fontId="36" fillId="2" borderId="43" xfId="0" applyFont="1" applyFill="1" applyBorder="1" applyAlignment="1">
      <alignment horizontal="center" vertical="center" wrapText="1"/>
    </xf>
    <xf numFmtId="0" fontId="36" fillId="2" borderId="44" xfId="0" applyFont="1" applyFill="1" applyBorder="1" applyAlignment="1">
      <alignment horizontal="center" vertical="center" wrapText="1"/>
    </xf>
    <xf numFmtId="0" fontId="36" fillId="2" borderId="27" xfId="0" applyFont="1" applyFill="1" applyBorder="1" applyAlignment="1">
      <alignment horizontal="center" vertical="center" wrapText="1"/>
    </xf>
    <xf numFmtId="0" fontId="36" fillId="2" borderId="45" xfId="0" applyFont="1" applyFill="1" applyBorder="1" applyAlignment="1">
      <alignment horizontal="center" vertical="center" wrapText="1"/>
    </xf>
    <xf numFmtId="0" fontId="39" fillId="2" borderId="46" xfId="0" applyFont="1" applyFill="1" applyBorder="1" applyAlignment="1">
      <alignment horizontal="center" vertical="center" wrapText="1"/>
    </xf>
    <xf numFmtId="0" fontId="39" fillId="2" borderId="47" xfId="0" applyFont="1" applyFill="1" applyBorder="1" applyAlignment="1">
      <alignment horizontal="center" vertical="center" wrapText="1"/>
    </xf>
    <xf numFmtId="0" fontId="39" fillId="2" borderId="48" xfId="0" applyFont="1" applyFill="1" applyBorder="1" applyAlignment="1">
      <alignment horizontal="center" vertical="center" wrapText="1"/>
    </xf>
    <xf numFmtId="14" fontId="18" fillId="24" borderId="33" xfId="0" applyNumberFormat="1" applyFont="1" applyFill="1" applyBorder="1" applyAlignment="1">
      <alignment horizontal="center" vertical="center"/>
    </xf>
    <xf numFmtId="0" fontId="18" fillId="24" borderId="33" xfId="0" applyFont="1" applyFill="1" applyBorder="1" applyAlignment="1">
      <alignment horizontal="center" vertical="center"/>
    </xf>
    <xf numFmtId="0" fontId="18" fillId="24" borderId="53" xfId="0" applyFont="1" applyFill="1" applyBorder="1" applyAlignment="1">
      <alignment horizontal="center" vertical="center"/>
    </xf>
    <xf numFmtId="0" fontId="27" fillId="21" borderId="49" xfId="0" applyFont="1" applyFill="1" applyBorder="1" applyAlignment="1">
      <alignment horizontal="center" vertical="center"/>
    </xf>
    <xf numFmtId="0" fontId="27" fillId="21" borderId="50" xfId="0" applyFont="1" applyFill="1" applyBorder="1" applyAlignment="1">
      <alignment horizontal="center" vertical="center"/>
    </xf>
    <xf numFmtId="0" fontId="27" fillId="21" borderId="42" xfId="0" applyFont="1" applyFill="1" applyBorder="1" applyAlignment="1">
      <alignment horizontal="center" vertical="center"/>
    </xf>
    <xf numFmtId="0" fontId="27" fillId="21" borderId="51" xfId="0" applyFont="1" applyFill="1" applyBorder="1" applyAlignment="1">
      <alignment horizontal="center" vertical="center"/>
    </xf>
    <xf numFmtId="1" fontId="23" fillId="20" borderId="5" xfId="0" applyNumberFormat="1" applyFont="1" applyFill="1" applyBorder="1" applyAlignment="1">
      <alignment horizontal="center" vertical="center"/>
    </xf>
    <xf numFmtId="0" fontId="23" fillId="20" borderId="5" xfId="0" applyFont="1" applyFill="1" applyBorder="1" applyAlignment="1">
      <alignment horizontal="center"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9" xfId="0" applyFont="1" applyFill="1" applyBorder="1" applyAlignment="1">
      <alignment horizontal="center" vertical="center"/>
    </xf>
    <xf numFmtId="164" fontId="38" fillId="3" borderId="37" xfId="0" applyNumberFormat="1" applyFont="1" applyFill="1" applyBorder="1" applyAlignment="1">
      <alignment horizontal="center" vertical="center"/>
    </xf>
    <xf numFmtId="0" fontId="38" fillId="3" borderId="37" xfId="0" applyFont="1" applyFill="1" applyBorder="1" applyAlignment="1">
      <alignment horizontal="center" vertical="center"/>
    </xf>
    <xf numFmtId="164" fontId="18" fillId="3" borderId="39" xfId="0" applyNumberFormat="1" applyFont="1" applyFill="1" applyBorder="1" applyAlignment="1">
      <alignment horizontal="center" vertical="center"/>
    </xf>
    <xf numFmtId="0" fontId="18" fillId="3" borderId="40" xfId="0" applyFont="1" applyFill="1" applyBorder="1" applyAlignment="1">
      <alignment horizontal="center" vertical="center"/>
    </xf>
    <xf numFmtId="10" fontId="40" fillId="3" borderId="37" xfId="3" applyNumberFormat="1" applyFont="1" applyFill="1" applyBorder="1" applyAlignment="1">
      <alignment horizontal="center" vertical="center"/>
    </xf>
    <xf numFmtId="10" fontId="40" fillId="3" borderId="40" xfId="3" applyNumberFormat="1" applyFont="1" applyFill="1" applyBorder="1" applyAlignment="1">
      <alignment horizontal="center" vertical="center"/>
    </xf>
    <xf numFmtId="10" fontId="40" fillId="3" borderId="39" xfId="3" applyNumberFormat="1" applyFont="1" applyFill="1" applyBorder="1" applyAlignment="1">
      <alignment horizontal="center" vertical="center"/>
    </xf>
    <xf numFmtId="0" fontId="31" fillId="15" borderId="33" xfId="0" applyFont="1" applyFill="1" applyBorder="1" applyAlignment="1">
      <alignment horizontal="center" vertical="center" wrapText="1"/>
    </xf>
    <xf numFmtId="0" fontId="31" fillId="15" borderId="9" xfId="0" applyFont="1" applyFill="1" applyBorder="1" applyAlignment="1">
      <alignment horizontal="center" vertical="center" wrapText="1"/>
    </xf>
    <xf numFmtId="164" fontId="23" fillId="15" borderId="8" xfId="0" applyNumberFormat="1" applyFont="1" applyFill="1" applyBorder="1" applyAlignment="1">
      <alignment horizontal="center" vertical="center"/>
    </xf>
    <xf numFmtId="164" fontId="23" fillId="15" borderId="9" xfId="0" applyNumberFormat="1" applyFont="1" applyFill="1" applyBorder="1" applyAlignment="1">
      <alignment horizontal="center" vertical="center"/>
    </xf>
    <xf numFmtId="0" fontId="18" fillId="17" borderId="33" xfId="0" applyFont="1" applyFill="1" applyBorder="1" applyAlignment="1">
      <alignment horizontal="center" vertical="center"/>
    </xf>
    <xf numFmtId="0" fontId="18" fillId="17" borderId="9" xfId="0" applyFont="1" applyFill="1" applyBorder="1" applyAlignment="1">
      <alignment horizontal="center" vertical="center"/>
    </xf>
    <xf numFmtId="164" fontId="18" fillId="17" borderId="33" xfId="0" applyNumberFormat="1" applyFont="1" applyFill="1" applyBorder="1" applyAlignment="1">
      <alignment horizontal="center" vertical="center"/>
    </xf>
    <xf numFmtId="164" fontId="18" fillId="17" borderId="9" xfId="0" applyNumberFormat="1" applyFont="1" applyFill="1" applyBorder="1" applyAlignment="1">
      <alignment horizontal="center" vertical="center"/>
    </xf>
    <xf numFmtId="10" fontId="23" fillId="15" borderId="8" xfId="0" applyNumberFormat="1" applyFont="1" applyFill="1" applyBorder="1" applyAlignment="1">
      <alignment horizontal="center" vertical="center"/>
    </xf>
    <xf numFmtId="0" fontId="23" fillId="15" borderId="9" xfId="0" applyFont="1" applyFill="1" applyBorder="1" applyAlignment="1">
      <alignment horizontal="center" vertical="center"/>
    </xf>
    <xf numFmtId="10" fontId="23" fillId="20" borderId="5" xfId="0" applyNumberFormat="1" applyFont="1" applyFill="1" applyBorder="1" applyAlignment="1">
      <alignment horizontal="center" vertical="center"/>
    </xf>
    <xf numFmtId="0" fontId="25" fillId="20" borderId="8" xfId="0" applyFont="1" applyFill="1" applyBorder="1" applyAlignment="1">
      <alignment horizontal="center" vertical="center"/>
    </xf>
    <xf numFmtId="0" fontId="25" fillId="20" borderId="33" xfId="0" applyFont="1" applyFill="1" applyBorder="1" applyAlignment="1">
      <alignment horizontal="center" vertical="center"/>
    </xf>
    <xf numFmtId="0" fontId="25" fillId="20" borderId="9" xfId="0" applyFont="1" applyFill="1" applyBorder="1" applyAlignment="1">
      <alignment horizontal="center" vertical="center"/>
    </xf>
    <xf numFmtId="0" fontId="30" fillId="20" borderId="5" xfId="0" applyFont="1" applyFill="1" applyBorder="1" applyAlignment="1">
      <alignment horizontal="center" vertical="center" wrapText="1"/>
    </xf>
    <xf numFmtId="0" fontId="18" fillId="24" borderId="52" xfId="0" applyFont="1" applyFill="1" applyBorder="1" applyAlignment="1">
      <alignment horizontal="center" vertical="center"/>
    </xf>
    <xf numFmtId="0" fontId="18" fillId="24" borderId="8" xfId="0" applyFont="1" applyFill="1" applyBorder="1" applyAlignment="1">
      <alignment horizontal="center" vertical="center"/>
    </xf>
    <xf numFmtId="0" fontId="18" fillId="24" borderId="9" xfId="0" applyFont="1" applyFill="1" applyBorder="1" applyAlignment="1">
      <alignment horizontal="center" vertical="center"/>
    </xf>
    <xf numFmtId="0" fontId="22" fillId="3" borderId="0" xfId="0" applyFont="1" applyFill="1" applyBorder="1" applyAlignment="1">
      <alignment horizontal="center" vertical="center"/>
    </xf>
    <xf numFmtId="165" fontId="20" fillId="3" borderId="0" xfId="0" applyNumberFormat="1" applyFont="1" applyFill="1" applyBorder="1" applyAlignment="1">
      <alignment horizontal="center" vertical="center"/>
    </xf>
    <xf numFmtId="165" fontId="20" fillId="3" borderId="0" xfId="0" applyNumberFormat="1" applyFont="1" applyFill="1" applyBorder="1" applyAlignment="1">
      <alignment horizontal="center" vertical="center" wrapText="1"/>
    </xf>
    <xf numFmtId="0" fontId="26" fillId="15" borderId="33" xfId="0" applyFont="1" applyFill="1" applyBorder="1" applyAlignment="1">
      <alignment horizontal="center" vertical="center"/>
    </xf>
    <xf numFmtId="0" fontId="26" fillId="15" borderId="9" xfId="0" applyFont="1" applyFill="1" applyBorder="1" applyAlignment="1">
      <alignment horizontal="center" vertical="center"/>
    </xf>
    <xf numFmtId="166" fontId="23" fillId="15" borderId="8" xfId="0" applyNumberFormat="1" applyFont="1" applyFill="1" applyBorder="1" applyAlignment="1">
      <alignment horizontal="center" vertical="center"/>
    </xf>
    <xf numFmtId="166" fontId="23" fillId="15" borderId="9" xfId="0" applyNumberFormat="1" applyFont="1" applyFill="1" applyBorder="1" applyAlignment="1">
      <alignment horizontal="center" vertical="center"/>
    </xf>
    <xf numFmtId="0" fontId="2" fillId="12" borderId="12" xfId="0" applyFont="1" applyFill="1" applyBorder="1" applyAlignment="1" applyProtection="1">
      <alignment horizontal="center" vertical="center" wrapText="1"/>
    </xf>
    <xf numFmtId="0" fontId="2" fillId="12" borderId="13" xfId="0" applyFont="1" applyFill="1" applyBorder="1" applyAlignment="1" applyProtection="1">
      <alignment horizontal="center" vertical="center" wrapText="1"/>
    </xf>
    <xf numFmtId="164" fontId="28" fillId="12" borderId="5" xfId="0" applyNumberFormat="1" applyFont="1" applyFill="1" applyBorder="1" applyAlignment="1" applyProtection="1">
      <alignment horizontal="center" vertical="center"/>
    </xf>
    <xf numFmtId="0" fontId="34" fillId="7" borderId="5" xfId="0" applyFont="1" applyFill="1" applyBorder="1" applyAlignment="1" applyProtection="1">
      <alignment horizontal="center" vertical="center"/>
    </xf>
    <xf numFmtId="0" fontId="2" fillId="8" borderId="12" xfId="0" applyNumberFormat="1" applyFont="1" applyFill="1" applyBorder="1" applyAlignment="1" applyProtection="1">
      <alignment horizontal="center" vertical="center" wrapText="1"/>
    </xf>
    <xf numFmtId="0" fontId="2" fillId="8" borderId="34" xfId="0" applyNumberFormat="1" applyFont="1" applyFill="1" applyBorder="1" applyAlignment="1" applyProtection="1">
      <alignment horizontal="center" vertical="center" wrapText="1"/>
    </xf>
    <xf numFmtId="10" fontId="28" fillId="8" borderId="15" xfId="3" applyNumberFormat="1" applyFont="1" applyFill="1" applyBorder="1" applyAlignment="1" applyProtection="1">
      <alignment horizontal="center" vertical="center"/>
    </xf>
    <xf numFmtId="10" fontId="28" fillId="8" borderId="28" xfId="3" applyNumberFormat="1" applyFont="1" applyFill="1" applyBorder="1" applyAlignment="1" applyProtection="1">
      <alignment horizontal="center" vertical="center"/>
    </xf>
    <xf numFmtId="10" fontId="28" fillId="8" borderId="16" xfId="3" applyNumberFormat="1" applyFont="1" applyFill="1" applyBorder="1" applyAlignment="1" applyProtection="1">
      <alignment horizontal="center" vertical="center"/>
    </xf>
    <xf numFmtId="10" fontId="28" fillId="8" borderId="17" xfId="3" applyNumberFormat="1" applyFont="1" applyFill="1" applyBorder="1" applyAlignment="1" applyProtection="1">
      <alignment horizontal="center" vertical="center"/>
    </xf>
    <xf numFmtId="10" fontId="28" fillId="8" borderId="0" xfId="3" applyNumberFormat="1" applyFont="1" applyFill="1" applyBorder="1" applyAlignment="1" applyProtection="1">
      <alignment horizontal="center" vertical="center"/>
    </xf>
    <xf numFmtId="10" fontId="28" fillId="8" borderId="35" xfId="3" applyNumberFormat="1" applyFont="1" applyFill="1" applyBorder="1" applyAlignment="1" applyProtection="1">
      <alignment horizontal="center" vertical="center"/>
    </xf>
    <xf numFmtId="0" fontId="2" fillId="12" borderId="5" xfId="0" applyFont="1" applyFill="1" applyBorder="1" applyAlignment="1" applyProtection="1">
      <alignment horizontal="center" vertical="center" wrapText="1"/>
    </xf>
    <xf numFmtId="164" fontId="28" fillId="12" borderId="13" xfId="0" applyNumberFormat="1" applyFont="1" applyFill="1" applyBorder="1" applyAlignment="1" applyProtection="1">
      <alignment horizontal="center" vertical="center"/>
    </xf>
    <xf numFmtId="0" fontId="2" fillId="13" borderId="5" xfId="0" applyFont="1" applyFill="1" applyBorder="1" applyAlignment="1" applyProtection="1">
      <alignment horizontal="center" vertical="center" wrapText="1"/>
    </xf>
    <xf numFmtId="164" fontId="28" fillId="13" borderId="5" xfId="0" applyNumberFormat="1" applyFont="1" applyFill="1" applyBorder="1" applyAlignment="1" applyProtection="1">
      <alignment horizontal="center" vertical="center"/>
    </xf>
    <xf numFmtId="0" fontId="2" fillId="19" borderId="12" xfId="0" applyNumberFormat="1" applyFont="1" applyFill="1" applyBorder="1" applyAlignment="1" applyProtection="1">
      <alignment horizontal="center" vertical="center" wrapText="1"/>
    </xf>
    <xf numFmtId="0" fontId="2" fillId="19" borderId="13" xfId="0" applyNumberFormat="1" applyFont="1" applyFill="1" applyBorder="1" applyAlignment="1" applyProtection="1">
      <alignment horizontal="center" vertical="center" wrapText="1"/>
    </xf>
    <xf numFmtId="164" fontId="28" fillId="19" borderId="15" xfId="0" applyNumberFormat="1" applyFont="1" applyFill="1" applyBorder="1" applyAlignment="1" applyProtection="1">
      <alignment horizontal="center" vertical="center"/>
    </xf>
    <xf numFmtId="10" fontId="28" fillId="19" borderId="28" xfId="0" applyNumberFormat="1" applyFont="1" applyFill="1" applyBorder="1" applyAlignment="1" applyProtection="1">
      <alignment horizontal="center" vertical="center"/>
    </xf>
    <xf numFmtId="10" fontId="28" fillId="19" borderId="16" xfId="0" applyNumberFormat="1" applyFont="1" applyFill="1" applyBorder="1" applyAlignment="1" applyProtection="1">
      <alignment horizontal="center" vertical="center"/>
    </xf>
    <xf numFmtId="10" fontId="28" fillId="19" borderId="29" xfId="0" applyNumberFormat="1" applyFont="1" applyFill="1" applyBorder="1" applyAlignment="1" applyProtection="1">
      <alignment horizontal="center" vertical="center"/>
    </xf>
    <xf numFmtId="10" fontId="28" fillId="19" borderId="27" xfId="0" applyNumberFormat="1" applyFont="1" applyFill="1" applyBorder="1" applyAlignment="1" applyProtection="1">
      <alignment horizontal="center" vertical="center"/>
    </xf>
    <xf numFmtId="10" fontId="28" fillId="19" borderId="30" xfId="0" applyNumberFormat="1" applyFont="1" applyFill="1" applyBorder="1" applyAlignment="1" applyProtection="1">
      <alignment horizontal="center" vertical="center"/>
    </xf>
    <xf numFmtId="10" fontId="28" fillId="13" borderId="5" xfId="3" applyNumberFormat="1" applyFont="1" applyFill="1" applyBorder="1" applyAlignment="1" applyProtection="1">
      <alignment horizontal="center" vertical="center"/>
    </xf>
    <xf numFmtId="164" fontId="2" fillId="8" borderId="5" xfId="0" applyNumberFormat="1" applyFont="1" applyFill="1" applyBorder="1" applyAlignment="1" applyProtection="1">
      <alignment horizontal="center" vertical="center"/>
    </xf>
    <xf numFmtId="1" fontId="28" fillId="8" borderId="5" xfId="0" applyNumberFormat="1" applyFont="1" applyFill="1" applyBorder="1" applyAlignment="1" applyProtection="1">
      <alignment horizontal="center" vertical="center"/>
    </xf>
    <xf numFmtId="164" fontId="28" fillId="19" borderId="28" xfId="0" applyNumberFormat="1" applyFont="1" applyFill="1" applyBorder="1" applyAlignment="1" applyProtection="1">
      <alignment horizontal="center" vertical="center"/>
    </xf>
    <xf numFmtId="164" fontId="28" fillId="19" borderId="16" xfId="0" applyNumberFormat="1" applyFont="1" applyFill="1" applyBorder="1" applyAlignment="1" applyProtection="1">
      <alignment horizontal="center" vertical="center"/>
    </xf>
    <xf numFmtId="164" fontId="28" fillId="19" borderId="29" xfId="0" applyNumberFormat="1" applyFont="1" applyFill="1" applyBorder="1" applyAlignment="1" applyProtection="1">
      <alignment horizontal="center" vertical="center"/>
    </xf>
    <xf numFmtId="164" fontId="28" fillId="19" borderId="27" xfId="0" applyNumberFormat="1" applyFont="1" applyFill="1" applyBorder="1" applyAlignment="1" applyProtection="1">
      <alignment horizontal="center" vertical="center"/>
    </xf>
    <xf numFmtId="164" fontId="28" fillId="19" borderId="30" xfId="0" applyNumberFormat="1" applyFont="1" applyFill="1" applyBorder="1" applyAlignment="1" applyProtection="1">
      <alignment horizontal="center" vertical="center"/>
    </xf>
    <xf numFmtId="0" fontId="34" fillId="7" borderId="15" xfId="0" applyFont="1" applyFill="1" applyBorder="1" applyAlignment="1" applyProtection="1">
      <alignment horizontal="center" vertical="center"/>
    </xf>
    <xf numFmtId="0" fontId="34" fillId="7" borderId="28" xfId="0" applyFont="1" applyFill="1" applyBorder="1" applyAlignment="1" applyProtection="1">
      <alignment horizontal="center" vertical="center"/>
    </xf>
    <xf numFmtId="0" fontId="34" fillId="7" borderId="16" xfId="0" applyFont="1" applyFill="1" applyBorder="1" applyAlignment="1" applyProtection="1">
      <alignment horizontal="center" vertical="center"/>
    </xf>
    <xf numFmtId="0" fontId="34" fillId="7" borderId="17" xfId="0" applyFont="1" applyFill="1" applyBorder="1" applyAlignment="1" applyProtection="1">
      <alignment horizontal="center" vertical="center"/>
    </xf>
    <xf numFmtId="0" fontId="34" fillId="7" borderId="0" xfId="0" applyFont="1" applyFill="1" applyBorder="1" applyAlignment="1" applyProtection="1">
      <alignment horizontal="center" vertical="center"/>
    </xf>
    <xf numFmtId="0" fontId="34" fillId="7" borderId="35" xfId="0" applyFont="1" applyFill="1" applyBorder="1" applyAlignment="1" applyProtection="1">
      <alignment horizontal="center" vertical="center"/>
    </xf>
    <xf numFmtId="0" fontId="34" fillId="7" borderId="29" xfId="0" applyFont="1" applyFill="1" applyBorder="1" applyAlignment="1" applyProtection="1">
      <alignment horizontal="center" vertical="center"/>
    </xf>
    <xf numFmtId="0" fontId="34" fillId="7" borderId="27" xfId="0" applyFont="1" applyFill="1" applyBorder="1" applyAlignment="1" applyProtection="1">
      <alignment horizontal="center" vertical="center"/>
    </xf>
    <xf numFmtId="0" fontId="34" fillId="7" borderId="30" xfId="0" applyFont="1" applyFill="1" applyBorder="1" applyAlignment="1" applyProtection="1">
      <alignment horizontal="center" vertical="center"/>
    </xf>
    <xf numFmtId="0" fontId="3" fillId="13" borderId="5" xfId="0" applyFont="1" applyFill="1" applyBorder="1" applyAlignment="1">
      <alignment horizontal="center" vertical="center"/>
    </xf>
    <xf numFmtId="0" fontId="4" fillId="16" borderId="11" xfId="1" applyFont="1" applyFill="1" applyBorder="1" applyAlignment="1" applyProtection="1">
      <alignment horizontal="center" vertical="center"/>
    </xf>
    <xf numFmtId="0" fontId="4" fillId="16" borderId="5" xfId="1" applyFont="1" applyFill="1" applyBorder="1" applyAlignment="1" applyProtection="1">
      <alignment horizontal="center" vertical="center"/>
    </xf>
    <xf numFmtId="164" fontId="5" fillId="11" borderId="5" xfId="1" applyNumberFormat="1" applyFont="1" applyFill="1" applyBorder="1" applyAlignment="1" applyProtection="1">
      <alignment horizontal="center" vertical="center"/>
    </xf>
    <xf numFmtId="164" fontId="5" fillId="11" borderId="26" xfId="1" applyNumberFormat="1" applyFont="1" applyFill="1" applyBorder="1" applyAlignment="1" applyProtection="1">
      <alignment horizontal="center" vertical="center"/>
    </xf>
    <xf numFmtId="10" fontId="5" fillId="11" borderId="5" xfId="1" applyNumberFormat="1" applyFont="1" applyFill="1" applyBorder="1" applyAlignment="1" applyProtection="1">
      <alignment horizontal="center" vertical="center"/>
    </xf>
    <xf numFmtId="10" fontId="5" fillId="11" borderId="26" xfId="1" applyNumberFormat="1" applyFont="1" applyFill="1" applyBorder="1" applyAlignment="1" applyProtection="1">
      <alignment horizontal="center" vertical="center"/>
    </xf>
    <xf numFmtId="0" fontId="4" fillId="16" borderId="23" xfId="1" applyFont="1" applyFill="1" applyBorder="1" applyAlignment="1" applyProtection="1">
      <alignment horizontal="center" vertical="center"/>
    </xf>
    <xf numFmtId="0" fontId="4" fillId="16" borderId="28" xfId="1" applyFont="1" applyFill="1" applyBorder="1" applyAlignment="1" applyProtection="1">
      <alignment horizontal="center" vertical="center"/>
    </xf>
    <xf numFmtId="0" fontId="4" fillId="16" borderId="16" xfId="1" applyFont="1" applyFill="1" applyBorder="1" applyAlignment="1" applyProtection="1">
      <alignment horizontal="center" vertical="center"/>
    </xf>
    <xf numFmtId="0" fontId="4" fillId="16" borderId="18" xfId="1" applyFont="1" applyFill="1" applyBorder="1" applyAlignment="1" applyProtection="1">
      <alignment horizontal="center" vertical="center"/>
    </xf>
    <xf numFmtId="0" fontId="4" fillId="16" borderId="27" xfId="1" applyFont="1" applyFill="1" applyBorder="1" applyAlignment="1" applyProtection="1">
      <alignment horizontal="center" vertical="center"/>
    </xf>
    <xf numFmtId="0" fontId="4" fillId="16" borderId="30" xfId="1" applyFont="1" applyFill="1" applyBorder="1" applyAlignment="1" applyProtection="1">
      <alignment horizontal="center" vertical="center"/>
    </xf>
    <xf numFmtId="164" fontId="5" fillId="11" borderId="15" xfId="1" applyNumberFormat="1" applyFont="1" applyFill="1" applyBorder="1" applyAlignment="1" applyProtection="1">
      <alignment horizontal="center" vertical="center"/>
    </xf>
    <xf numFmtId="164" fontId="5" fillId="11" borderId="28" xfId="1" applyNumberFormat="1" applyFont="1" applyFill="1" applyBorder="1" applyAlignment="1" applyProtection="1">
      <alignment horizontal="center" vertical="center"/>
    </xf>
    <xf numFmtId="164" fontId="5" fillId="11" borderId="24" xfId="1" applyNumberFormat="1" applyFont="1" applyFill="1" applyBorder="1" applyAlignment="1" applyProtection="1">
      <alignment horizontal="center" vertical="center"/>
    </xf>
    <xf numFmtId="164" fontId="5" fillId="11" borderId="29" xfId="1" applyNumberFormat="1" applyFont="1" applyFill="1" applyBorder="1" applyAlignment="1" applyProtection="1">
      <alignment horizontal="center" vertical="center"/>
    </xf>
    <xf numFmtId="164" fontId="5" fillId="11" borderId="27" xfId="1" applyNumberFormat="1" applyFont="1" applyFill="1" applyBorder="1" applyAlignment="1" applyProtection="1">
      <alignment horizontal="center" vertical="center"/>
    </xf>
    <xf numFmtId="164" fontId="5" fillId="11" borderId="20" xfId="1" applyNumberFormat="1" applyFont="1" applyFill="1" applyBorder="1" applyAlignment="1" applyProtection="1">
      <alignment horizontal="center" vertical="center"/>
    </xf>
    <xf numFmtId="0" fontId="5" fillId="11" borderId="5" xfId="1" applyFont="1" applyFill="1" applyBorder="1" applyAlignment="1" applyProtection="1">
      <alignment horizontal="center" vertical="center"/>
      <protection locked="0"/>
    </xf>
    <xf numFmtId="0" fontId="5" fillId="11" borderId="26" xfId="1" applyFont="1" applyFill="1" applyBorder="1" applyAlignment="1" applyProtection="1">
      <alignment horizontal="center" vertical="center"/>
      <protection locked="0"/>
    </xf>
    <xf numFmtId="164" fontId="5" fillId="11" borderId="8" xfId="1" applyNumberFormat="1" applyFont="1" applyFill="1" applyBorder="1" applyAlignment="1" applyProtection="1">
      <alignment horizontal="center" vertical="center"/>
    </xf>
    <xf numFmtId="0" fontId="7" fillId="2" borderId="1" xfId="1" applyFont="1" applyFill="1" applyBorder="1" applyAlignment="1" applyProtection="1">
      <alignment horizontal="center" vertical="center"/>
    </xf>
    <xf numFmtId="0" fontId="7" fillId="2" borderId="6" xfId="1" applyFont="1" applyFill="1" applyBorder="1" applyAlignment="1" applyProtection="1">
      <alignment horizontal="center" vertical="center"/>
    </xf>
    <xf numFmtId="0" fontId="7" fillId="2" borderId="3" xfId="1" applyFont="1" applyFill="1" applyBorder="1" applyAlignment="1" applyProtection="1">
      <alignment horizontal="center" vertical="center"/>
    </xf>
    <xf numFmtId="0" fontId="7" fillId="2" borderId="0" xfId="1" applyFont="1" applyFill="1" applyBorder="1" applyAlignment="1" applyProtection="1">
      <alignment horizontal="center" vertical="center"/>
    </xf>
    <xf numFmtId="0" fontId="7" fillId="2" borderId="19" xfId="1" applyFont="1" applyFill="1" applyBorder="1" applyAlignment="1" applyProtection="1">
      <alignment horizontal="center" vertical="center"/>
    </xf>
    <xf numFmtId="0" fontId="7" fillId="2" borderId="7" xfId="1" applyFont="1" applyFill="1" applyBorder="1" applyAlignment="1" applyProtection="1">
      <alignment horizontal="center" vertical="center"/>
    </xf>
    <xf numFmtId="0" fontId="7" fillId="3" borderId="6" xfId="1" applyFont="1" applyFill="1" applyBorder="1" applyAlignment="1" applyProtection="1">
      <alignment horizontal="center" vertical="center"/>
    </xf>
    <xf numFmtId="0" fontId="7" fillId="3" borderId="0" xfId="1" applyFont="1" applyFill="1" applyBorder="1" applyAlignment="1" applyProtection="1">
      <alignment horizontal="center" vertical="center"/>
    </xf>
    <xf numFmtId="0" fontId="7" fillId="3" borderId="7" xfId="1" applyFont="1" applyFill="1" applyBorder="1" applyAlignment="1" applyProtection="1">
      <alignment horizontal="center" vertical="center"/>
    </xf>
    <xf numFmtId="0" fontId="7" fillId="2" borderId="2" xfId="1" applyFont="1" applyFill="1" applyBorder="1" applyAlignment="1" applyProtection="1">
      <alignment horizontal="center" vertical="center"/>
    </xf>
    <xf numFmtId="0" fontId="7" fillId="2" borderId="10" xfId="1" applyFont="1" applyFill="1" applyBorder="1" applyAlignment="1" applyProtection="1">
      <alignment horizontal="center" vertical="center"/>
    </xf>
    <xf numFmtId="0" fontId="7" fillId="2" borderId="4" xfId="1" applyFont="1" applyFill="1" applyBorder="1" applyAlignment="1" applyProtection="1">
      <alignment horizontal="center" vertical="center"/>
    </xf>
    <xf numFmtId="0" fontId="4" fillId="16" borderId="21" xfId="1" applyFont="1" applyFill="1" applyBorder="1" applyAlignment="1" applyProtection="1">
      <alignment horizontal="center" vertical="center"/>
    </xf>
    <xf numFmtId="0" fontId="4" fillId="16" borderId="25" xfId="1" applyFont="1" applyFill="1" applyBorder="1" applyAlignment="1" applyProtection="1">
      <alignment horizontal="center" vertical="center"/>
    </xf>
    <xf numFmtId="0" fontId="5" fillId="11" borderId="25" xfId="1" applyFont="1" applyFill="1" applyBorder="1" applyAlignment="1" applyProtection="1">
      <alignment horizontal="center" vertical="center"/>
    </xf>
    <xf numFmtId="0" fontId="5" fillId="11" borderId="22" xfId="1" applyFont="1" applyFill="1" applyBorder="1" applyAlignment="1" applyProtection="1">
      <alignment horizontal="center" vertical="center"/>
    </xf>
    <xf numFmtId="0" fontId="5" fillId="11" borderId="5" xfId="1" applyFont="1" applyFill="1" applyBorder="1" applyAlignment="1" applyProtection="1">
      <alignment horizontal="center" vertical="center"/>
    </xf>
    <xf numFmtId="0" fontId="5" fillId="11" borderId="26" xfId="1" applyFont="1" applyFill="1" applyBorder="1" applyAlignment="1" applyProtection="1">
      <alignment horizontal="center" vertical="center"/>
    </xf>
    <xf numFmtId="164" fontId="5" fillId="11" borderId="25" xfId="2" applyNumberFormat="1" applyFont="1" applyFill="1" applyBorder="1" applyAlignment="1" applyProtection="1">
      <alignment horizontal="center" vertical="center"/>
    </xf>
    <xf numFmtId="10" fontId="5" fillId="11" borderId="25" xfId="2" applyNumberFormat="1" applyFont="1" applyFill="1" applyBorder="1" applyAlignment="1" applyProtection="1">
      <alignment horizontal="center" vertical="center"/>
    </xf>
    <xf numFmtId="10" fontId="5" fillId="11" borderId="22" xfId="2" applyNumberFormat="1" applyFont="1" applyFill="1" applyBorder="1" applyAlignment="1" applyProtection="1">
      <alignment horizontal="center" vertical="center"/>
    </xf>
    <xf numFmtId="10" fontId="5" fillId="11" borderId="5" xfId="2" applyNumberFormat="1" applyFont="1" applyFill="1" applyBorder="1" applyAlignment="1" applyProtection="1">
      <alignment horizontal="center" vertical="center"/>
    </xf>
    <xf numFmtId="10" fontId="5" fillId="11" borderId="26" xfId="2" applyNumberFormat="1" applyFont="1" applyFill="1" applyBorder="1" applyAlignment="1" applyProtection="1">
      <alignment horizontal="center" vertical="center"/>
    </xf>
    <xf numFmtId="164" fontId="5" fillId="11" borderId="25" xfId="1" applyNumberFormat="1" applyFont="1" applyFill="1" applyBorder="1" applyAlignment="1" applyProtection="1">
      <alignment horizontal="center" vertical="center"/>
    </xf>
    <xf numFmtId="164" fontId="5" fillId="11" borderId="32" xfId="1" applyNumberFormat="1" applyFont="1" applyFill="1" applyBorder="1" applyAlignment="1" applyProtection="1">
      <alignment horizontal="center" vertical="center"/>
    </xf>
    <xf numFmtId="164" fontId="5" fillId="11" borderId="22" xfId="1" applyNumberFormat="1" applyFont="1" applyFill="1" applyBorder="1" applyAlignment="1" applyProtection="1">
      <alignment horizontal="center" vertical="center"/>
    </xf>
    <xf numFmtId="14" fontId="15" fillId="10" borderId="5" xfId="1" applyNumberFormat="1" applyFont="1" applyFill="1" applyBorder="1" applyAlignment="1" applyProtection="1">
      <alignment horizontal="center" vertical="center"/>
      <protection locked="0"/>
    </xf>
    <xf numFmtId="164" fontId="15" fillId="10" borderId="5" xfId="1" applyNumberFormat="1" applyFont="1" applyFill="1" applyBorder="1" applyAlignment="1" applyProtection="1">
      <alignment horizontal="center" vertical="center"/>
      <protection locked="0"/>
    </xf>
    <xf numFmtId="0" fontId="15" fillId="10" borderId="5" xfId="1" applyFont="1" applyFill="1" applyBorder="1" applyAlignment="1" applyProtection="1">
      <alignment horizontal="center" vertical="center"/>
      <protection locked="0"/>
    </xf>
    <xf numFmtId="164" fontId="15" fillId="10" borderId="5" xfId="1" applyNumberFormat="1" applyFont="1" applyFill="1" applyBorder="1" applyAlignment="1" applyProtection="1">
      <alignment horizontal="center" vertical="center"/>
    </xf>
    <xf numFmtId="0" fontId="14" fillId="2" borderId="5" xfId="1" applyFont="1" applyFill="1" applyBorder="1" applyAlignment="1" applyProtection="1">
      <alignment horizontal="center" vertical="center"/>
    </xf>
    <xf numFmtId="0" fontId="4" fillId="11" borderId="5" xfId="1" applyFont="1" applyFill="1" applyBorder="1" applyAlignment="1" applyProtection="1">
      <alignment horizontal="center" vertical="center"/>
    </xf>
    <xf numFmtId="0" fontId="4" fillId="4" borderId="5" xfId="1" applyFont="1" applyFill="1" applyBorder="1" applyAlignment="1" applyProtection="1">
      <alignment horizontal="center" vertical="center"/>
    </xf>
    <xf numFmtId="0" fontId="13" fillId="0" borderId="5" xfId="1" applyBorder="1" applyAlignment="1" applyProtection="1">
      <alignment horizontal="center"/>
    </xf>
    <xf numFmtId="0" fontId="3" fillId="11" borderId="5" xfId="1" applyFont="1" applyFill="1" applyBorder="1" applyAlignment="1" applyProtection="1">
      <alignment horizontal="center" vertical="center"/>
    </xf>
    <xf numFmtId="0" fontId="11" fillId="2" borderId="5" xfId="1" applyFont="1" applyFill="1" applyBorder="1" applyAlignment="1" applyProtection="1">
      <alignment horizontal="center" vertical="center"/>
    </xf>
    <xf numFmtId="0" fontId="11" fillId="2" borderId="12" xfId="1" applyFont="1" applyFill="1" applyBorder="1" applyAlignment="1" applyProtection="1">
      <alignment horizontal="center" vertical="center"/>
    </xf>
    <xf numFmtId="0" fontId="13" fillId="3" borderId="15" xfId="1" applyFill="1" applyBorder="1" applyAlignment="1" applyProtection="1">
      <alignment horizontal="center" vertical="center"/>
    </xf>
    <xf numFmtId="0" fontId="13" fillId="3" borderId="17" xfId="1" applyFill="1" applyBorder="1" applyAlignment="1" applyProtection="1">
      <alignment horizontal="center" vertical="center"/>
    </xf>
    <xf numFmtId="14" fontId="15" fillId="5" borderId="5" xfId="1" applyNumberFormat="1" applyFont="1" applyFill="1" applyBorder="1" applyAlignment="1" applyProtection="1">
      <alignment horizontal="center" vertical="center"/>
      <protection locked="0"/>
    </xf>
    <xf numFmtId="164" fontId="15" fillId="5" borderId="5" xfId="1" applyNumberFormat="1" applyFont="1" applyFill="1" applyBorder="1" applyAlignment="1" applyProtection="1">
      <alignment horizontal="center" vertical="center"/>
      <protection locked="0"/>
    </xf>
    <xf numFmtId="0" fontId="15" fillId="5" borderId="5" xfId="1" applyFont="1" applyFill="1" applyBorder="1" applyAlignment="1" applyProtection="1">
      <alignment horizontal="center" vertical="center"/>
      <protection locked="0"/>
    </xf>
    <xf numFmtId="164" fontId="15" fillId="5" borderId="8" xfId="1" applyNumberFormat="1" applyFont="1" applyFill="1" applyBorder="1" applyAlignment="1" applyProtection="1">
      <alignment horizontal="center" vertical="center"/>
    </xf>
    <xf numFmtId="164" fontId="15" fillId="5" borderId="9" xfId="1" applyNumberFormat="1" applyFont="1" applyFill="1" applyBorder="1" applyAlignment="1" applyProtection="1">
      <alignment horizontal="center" vertical="center"/>
    </xf>
    <xf numFmtId="0" fontId="13" fillId="0" borderId="0" xfId="1" applyAlignment="1" applyProtection="1">
      <alignment horizontal="center"/>
    </xf>
    <xf numFmtId="164" fontId="15" fillId="10" borderId="8" xfId="1" applyNumberFormat="1" applyFont="1" applyFill="1" applyBorder="1" applyAlignment="1" applyProtection="1">
      <alignment horizontal="center" vertical="center"/>
    </xf>
    <xf numFmtId="164" fontId="15" fillId="10" borderId="9" xfId="1" applyNumberFormat="1" applyFont="1" applyFill="1" applyBorder="1" applyAlignment="1" applyProtection="1">
      <alignment horizontal="center" vertical="center"/>
    </xf>
    <xf numFmtId="0" fontId="14" fillId="2" borderId="5" xfId="1" applyFont="1" applyFill="1" applyBorder="1" applyAlignment="1">
      <alignment horizontal="center" vertical="center"/>
    </xf>
    <xf numFmtId="164" fontId="15" fillId="6" borderId="5" xfId="1" applyNumberFormat="1" applyFont="1" applyFill="1" applyBorder="1" applyAlignment="1" applyProtection="1">
      <alignment horizontal="center" vertical="center"/>
      <protection locked="0"/>
    </xf>
    <xf numFmtId="0" fontId="15" fillId="6" borderId="5" xfId="1" applyFont="1" applyFill="1" applyBorder="1" applyAlignment="1" applyProtection="1">
      <alignment horizontal="center" vertical="center"/>
      <protection locked="0"/>
    </xf>
    <xf numFmtId="0" fontId="7" fillId="2" borderId="1" xfId="1" applyFont="1" applyFill="1" applyBorder="1" applyAlignment="1">
      <alignment horizontal="center" vertical="center"/>
    </xf>
    <xf numFmtId="0" fontId="7" fillId="2" borderId="6" xfId="1" applyFont="1" applyFill="1" applyBorder="1" applyAlignment="1">
      <alignment horizontal="center" vertical="center"/>
    </xf>
    <xf numFmtId="0" fontId="7" fillId="2" borderId="3" xfId="1" applyFont="1" applyFill="1" applyBorder="1" applyAlignment="1">
      <alignment horizontal="center" vertical="center"/>
    </xf>
    <xf numFmtId="0" fontId="7" fillId="2" borderId="0" xfId="1" applyFont="1" applyFill="1" applyBorder="1" applyAlignment="1">
      <alignment horizontal="center" vertical="center"/>
    </xf>
    <xf numFmtId="0" fontId="7" fillId="2" borderId="19" xfId="1" applyFont="1" applyFill="1" applyBorder="1" applyAlignment="1">
      <alignment horizontal="center" vertical="center"/>
    </xf>
    <xf numFmtId="0" fontId="7" fillId="2" borderId="7" xfId="1" applyFont="1" applyFill="1" applyBorder="1" applyAlignment="1">
      <alignment horizontal="center" vertical="center"/>
    </xf>
    <xf numFmtId="0" fontId="4" fillId="4" borderId="21" xfId="1" applyFont="1" applyFill="1" applyBorder="1" applyAlignment="1">
      <alignment horizontal="center" vertical="center"/>
    </xf>
    <xf numFmtId="0" fontId="4" fillId="4" borderId="25" xfId="1" applyFont="1" applyFill="1" applyBorder="1" applyAlignment="1">
      <alignment horizontal="center" vertical="center"/>
    </xf>
    <xf numFmtId="0" fontId="4" fillId="4" borderId="11" xfId="1" applyFont="1" applyFill="1" applyBorder="1" applyAlignment="1">
      <alignment horizontal="center" vertical="center"/>
    </xf>
    <xf numFmtId="0" fontId="4" fillId="4" borderId="5" xfId="1" applyFont="1" applyFill="1" applyBorder="1" applyAlignment="1">
      <alignment horizontal="center" vertical="center"/>
    </xf>
    <xf numFmtId="0" fontId="5" fillId="11" borderId="25" xfId="1" applyFont="1" applyFill="1" applyBorder="1" applyAlignment="1">
      <alignment horizontal="center" vertical="center"/>
    </xf>
    <xf numFmtId="0" fontId="5" fillId="11" borderId="22" xfId="1" applyFont="1" applyFill="1" applyBorder="1" applyAlignment="1">
      <alignment horizontal="center" vertical="center"/>
    </xf>
    <xf numFmtId="0" fontId="5" fillId="11" borderId="5" xfId="1" applyFont="1" applyFill="1" applyBorder="1" applyAlignment="1">
      <alignment horizontal="center" vertical="center"/>
    </xf>
    <xf numFmtId="0" fontId="5" fillId="11" borderId="26" xfId="1" applyFont="1" applyFill="1" applyBorder="1" applyAlignment="1">
      <alignment horizontal="center" vertical="center"/>
    </xf>
    <xf numFmtId="10" fontId="5" fillId="11" borderId="25" xfId="2" applyNumberFormat="1" applyFont="1" applyFill="1" applyBorder="1" applyAlignment="1">
      <alignment horizontal="center" vertical="center"/>
    </xf>
    <xf numFmtId="10" fontId="5" fillId="11" borderId="22" xfId="2" applyNumberFormat="1" applyFont="1" applyFill="1" applyBorder="1" applyAlignment="1">
      <alignment horizontal="center" vertical="center"/>
    </xf>
    <xf numFmtId="10" fontId="5" fillId="11" borderId="5" xfId="2" applyNumberFormat="1" applyFont="1" applyFill="1" applyBorder="1" applyAlignment="1">
      <alignment horizontal="center" vertical="center"/>
    </xf>
    <xf numFmtId="10" fontId="5" fillId="11" borderId="26" xfId="2" applyNumberFormat="1" applyFont="1" applyFill="1" applyBorder="1" applyAlignment="1">
      <alignment horizontal="center" vertical="center"/>
    </xf>
    <xf numFmtId="164" fontId="5" fillId="11" borderId="25" xfId="1" applyNumberFormat="1" applyFont="1" applyFill="1" applyBorder="1" applyAlignment="1">
      <alignment horizontal="center" vertical="center"/>
    </xf>
    <xf numFmtId="164" fontId="5" fillId="11" borderId="32" xfId="1" applyNumberFormat="1" applyFont="1" applyFill="1" applyBorder="1" applyAlignment="1">
      <alignment horizontal="center" vertical="center"/>
    </xf>
    <xf numFmtId="164" fontId="5" fillId="11" borderId="22" xfId="1" applyNumberFormat="1" applyFont="1" applyFill="1" applyBorder="1" applyAlignment="1">
      <alignment horizontal="center" vertical="center"/>
    </xf>
    <xf numFmtId="164" fontId="5" fillId="11" borderId="5" xfId="1" applyNumberFormat="1" applyFont="1" applyFill="1" applyBorder="1" applyAlignment="1">
      <alignment horizontal="center" vertical="center"/>
    </xf>
    <xf numFmtId="164" fontId="5" fillId="11" borderId="8" xfId="1" applyNumberFormat="1" applyFont="1" applyFill="1" applyBorder="1" applyAlignment="1">
      <alignment horizontal="center" vertical="center"/>
    </xf>
    <xf numFmtId="164" fontId="5" fillId="11" borderId="26" xfId="1" applyNumberFormat="1" applyFont="1" applyFill="1" applyBorder="1" applyAlignment="1">
      <alignment horizontal="center" vertical="center"/>
    </xf>
    <xf numFmtId="0" fontId="4" fillId="4" borderId="14" xfId="1" applyFont="1" applyFill="1" applyBorder="1" applyAlignment="1">
      <alignment horizontal="center" vertical="center"/>
    </xf>
    <xf numFmtId="0" fontId="4" fillId="4" borderId="12" xfId="1" applyFont="1" applyFill="1" applyBorder="1" applyAlignment="1">
      <alignment horizontal="center" vertical="center"/>
    </xf>
    <xf numFmtId="10" fontId="5" fillId="11" borderId="5" xfId="3" applyNumberFormat="1" applyFont="1" applyFill="1" applyBorder="1" applyAlignment="1">
      <alignment horizontal="center" vertical="center"/>
    </xf>
    <xf numFmtId="10" fontId="5" fillId="11" borderId="26" xfId="3" applyNumberFormat="1" applyFont="1" applyFill="1" applyBorder="1" applyAlignment="1">
      <alignment horizontal="center" vertical="center"/>
    </xf>
    <xf numFmtId="10" fontId="5" fillId="11" borderId="12" xfId="3" applyNumberFormat="1" applyFont="1" applyFill="1" applyBorder="1" applyAlignment="1">
      <alignment horizontal="center" vertical="center"/>
    </xf>
    <xf numFmtId="10" fontId="5" fillId="11" borderId="31" xfId="3" applyNumberFormat="1" applyFont="1" applyFill="1" applyBorder="1" applyAlignment="1">
      <alignment horizontal="center" vertical="center"/>
    </xf>
    <xf numFmtId="2" fontId="17" fillId="11" borderId="5" xfId="1" applyNumberFormat="1" applyFont="1" applyFill="1" applyBorder="1" applyAlignment="1">
      <alignment horizontal="center" vertical="center"/>
    </xf>
    <xf numFmtId="2" fontId="17" fillId="11" borderId="26" xfId="1" applyNumberFormat="1" applyFont="1" applyFill="1" applyBorder="1" applyAlignment="1">
      <alignment horizontal="center" vertical="center"/>
    </xf>
    <xf numFmtId="2" fontId="17" fillId="11" borderId="12" xfId="1" applyNumberFormat="1" applyFont="1" applyFill="1" applyBorder="1" applyAlignment="1">
      <alignment horizontal="center" vertical="center"/>
    </xf>
    <xf numFmtId="2" fontId="17" fillId="11" borderId="31" xfId="1" applyNumberFormat="1" applyFont="1" applyFill="1" applyBorder="1" applyAlignment="1">
      <alignment horizontal="center" vertical="center"/>
    </xf>
    <xf numFmtId="0" fontId="4" fillId="4" borderId="23" xfId="1" applyFont="1" applyFill="1" applyBorder="1" applyAlignment="1">
      <alignment horizontal="center" vertical="center"/>
    </xf>
    <xf numFmtId="0" fontId="4" fillId="4" borderId="28" xfId="1" applyFont="1" applyFill="1" applyBorder="1" applyAlignment="1">
      <alignment horizontal="center" vertical="center"/>
    </xf>
    <xf numFmtId="0" fontId="4" fillId="4" borderId="16" xfId="1" applyFont="1" applyFill="1" applyBorder="1" applyAlignment="1">
      <alignment horizontal="center" vertical="center"/>
    </xf>
    <xf numFmtId="0" fontId="4" fillId="4" borderId="18" xfId="1" applyFont="1" applyFill="1" applyBorder="1" applyAlignment="1">
      <alignment horizontal="center" vertical="center"/>
    </xf>
    <xf numFmtId="0" fontId="4" fillId="4" borderId="27" xfId="1" applyFont="1" applyFill="1" applyBorder="1" applyAlignment="1">
      <alignment horizontal="center" vertical="center"/>
    </xf>
    <xf numFmtId="0" fontId="4" fillId="4" borderId="30" xfId="1" applyFont="1" applyFill="1" applyBorder="1" applyAlignment="1">
      <alignment horizontal="center" vertical="center"/>
    </xf>
    <xf numFmtId="164" fontId="5" fillId="11" borderId="15" xfId="1" applyNumberFormat="1" applyFont="1" applyFill="1" applyBorder="1" applyAlignment="1">
      <alignment horizontal="center" vertical="center"/>
    </xf>
    <xf numFmtId="164" fontId="5" fillId="11" borderId="28" xfId="1" applyNumberFormat="1" applyFont="1" applyFill="1" applyBorder="1" applyAlignment="1">
      <alignment horizontal="center" vertical="center"/>
    </xf>
    <xf numFmtId="164" fontId="5" fillId="11" borderId="24" xfId="1" applyNumberFormat="1" applyFont="1" applyFill="1" applyBorder="1" applyAlignment="1">
      <alignment horizontal="center" vertical="center"/>
    </xf>
    <xf numFmtId="164" fontId="5" fillId="11" borderId="29" xfId="1" applyNumberFormat="1" applyFont="1" applyFill="1" applyBorder="1" applyAlignment="1">
      <alignment horizontal="center" vertical="center"/>
    </xf>
    <xf numFmtId="164" fontId="5" fillId="11" borderId="27" xfId="1" applyNumberFormat="1" applyFont="1" applyFill="1" applyBorder="1" applyAlignment="1">
      <alignment horizontal="center" vertical="center"/>
    </xf>
    <xf numFmtId="164" fontId="5" fillId="11" borderId="20" xfId="1" applyNumberFormat="1" applyFont="1" applyFill="1" applyBorder="1" applyAlignment="1">
      <alignment horizontal="center" vertical="center"/>
    </xf>
    <xf numFmtId="164" fontId="15" fillId="10" borderId="8" xfId="1" applyNumberFormat="1" applyFont="1" applyFill="1" applyBorder="1" applyAlignment="1" applyProtection="1">
      <alignment horizontal="center" vertical="center"/>
      <protection locked="0"/>
    </xf>
    <xf numFmtId="164" fontId="15" fillId="10" borderId="9" xfId="1" applyNumberFormat="1" applyFont="1" applyFill="1" applyBorder="1" applyAlignment="1" applyProtection="1">
      <alignment horizontal="center" vertical="center"/>
      <protection locked="0"/>
    </xf>
    <xf numFmtId="164" fontId="15" fillId="10" borderId="5" xfId="1" applyNumberFormat="1" applyFont="1" applyFill="1" applyBorder="1" applyAlignment="1">
      <alignment horizontal="center" vertical="center"/>
    </xf>
    <xf numFmtId="0" fontId="7" fillId="2" borderId="2" xfId="1" applyFont="1" applyFill="1" applyBorder="1" applyAlignment="1">
      <alignment horizontal="center" vertical="center"/>
    </xf>
    <xf numFmtId="0" fontId="7" fillId="2" borderId="10" xfId="1" applyFont="1" applyFill="1" applyBorder="1" applyAlignment="1">
      <alignment horizontal="center" vertical="center"/>
    </xf>
    <xf numFmtId="0" fontId="7" fillId="2" borderId="4" xfId="1" applyFont="1" applyFill="1" applyBorder="1" applyAlignment="1">
      <alignment horizontal="center" vertical="center"/>
    </xf>
    <xf numFmtId="0" fontId="7" fillId="3" borderId="6" xfId="1" applyFont="1" applyFill="1" applyBorder="1" applyAlignment="1">
      <alignment horizontal="center" vertical="center"/>
    </xf>
    <xf numFmtId="0" fontId="7" fillId="3" borderId="0" xfId="1" applyFont="1" applyFill="1" applyBorder="1" applyAlignment="1">
      <alignment horizontal="center" vertical="center"/>
    </xf>
    <xf numFmtId="0" fontId="7" fillId="3" borderId="7" xfId="1" applyFont="1" applyFill="1" applyBorder="1" applyAlignment="1">
      <alignment horizontal="center" vertical="center"/>
    </xf>
    <xf numFmtId="0" fontId="10" fillId="9" borderId="12" xfId="1" applyFont="1" applyFill="1" applyBorder="1" applyAlignment="1">
      <alignment horizontal="center" vertical="center" wrapText="1"/>
    </xf>
    <xf numFmtId="0" fontId="10" fillId="9" borderId="13" xfId="1" applyFont="1" applyFill="1" applyBorder="1" applyAlignment="1">
      <alignment horizontal="center" vertical="center" wrapText="1"/>
    </xf>
    <xf numFmtId="0" fontId="10" fillId="9" borderId="15" xfId="1" applyFont="1" applyFill="1" applyBorder="1" applyAlignment="1">
      <alignment horizontal="center" vertical="center" wrapText="1"/>
    </xf>
    <xf numFmtId="0" fontId="10" fillId="9" borderId="16" xfId="1" applyFont="1" applyFill="1" applyBorder="1" applyAlignment="1">
      <alignment horizontal="center" vertical="center" wrapText="1"/>
    </xf>
    <xf numFmtId="0" fontId="10" fillId="9" borderId="29" xfId="1" applyFont="1" applyFill="1" applyBorder="1" applyAlignment="1">
      <alignment horizontal="center" vertical="center" wrapText="1"/>
    </xf>
    <xf numFmtId="0" fontId="10" fillId="9" borderId="30" xfId="1" applyFont="1" applyFill="1" applyBorder="1" applyAlignment="1">
      <alignment horizontal="center" vertical="center" wrapText="1"/>
    </xf>
    <xf numFmtId="10" fontId="15" fillId="10" borderId="9" xfId="1" applyNumberFormat="1" applyFont="1" applyFill="1" applyBorder="1" applyAlignment="1" applyProtection="1">
      <alignment horizontal="center" vertical="center"/>
    </xf>
    <xf numFmtId="164" fontId="15" fillId="5" borderId="8" xfId="1" applyNumberFormat="1" applyFont="1" applyFill="1" applyBorder="1" applyAlignment="1">
      <alignment horizontal="center" vertical="center"/>
    </xf>
    <xf numFmtId="164" fontId="15" fillId="5" borderId="9" xfId="1" applyNumberFormat="1" applyFont="1" applyFill="1" applyBorder="1" applyAlignment="1">
      <alignment horizontal="center" vertical="center"/>
    </xf>
    <xf numFmtId="164" fontId="15" fillId="10" borderId="15" xfId="1" applyNumberFormat="1" applyFont="1" applyFill="1" applyBorder="1" applyAlignment="1">
      <alignment horizontal="center" vertical="top" wrapText="1"/>
    </xf>
    <xf numFmtId="164" fontId="15" fillId="10" borderId="28" xfId="1" applyNumberFormat="1" applyFont="1" applyFill="1" applyBorder="1" applyAlignment="1">
      <alignment horizontal="center" vertical="top" wrapText="1"/>
    </xf>
    <xf numFmtId="164" fontId="15" fillId="10" borderId="17" xfId="1" applyNumberFormat="1" applyFont="1" applyFill="1" applyBorder="1" applyAlignment="1">
      <alignment horizontal="center" vertical="top" wrapText="1"/>
    </xf>
    <xf numFmtId="164" fontId="15" fillId="10" borderId="0" xfId="1" applyNumberFormat="1" applyFont="1" applyFill="1" applyBorder="1" applyAlignment="1">
      <alignment horizontal="center" vertical="top" wrapText="1"/>
    </xf>
    <xf numFmtId="0" fontId="4" fillId="11" borderId="5" xfId="1" applyFont="1" applyFill="1" applyBorder="1" applyAlignment="1">
      <alignment horizontal="center" vertical="center"/>
    </xf>
    <xf numFmtId="0" fontId="13" fillId="0" borderId="5" xfId="1" applyBorder="1" applyAlignment="1">
      <alignment horizontal="center"/>
    </xf>
    <xf numFmtId="0" fontId="3" fillId="11" borderId="5" xfId="1" applyFont="1" applyFill="1" applyBorder="1" applyAlignment="1">
      <alignment horizontal="center" vertical="center"/>
    </xf>
    <xf numFmtId="0" fontId="11" fillId="2" borderId="5" xfId="1" applyFont="1" applyFill="1" applyBorder="1" applyAlignment="1">
      <alignment horizontal="center" vertical="center"/>
    </xf>
    <xf numFmtId="0" fontId="11" fillId="2" borderId="12" xfId="1" applyFont="1" applyFill="1" applyBorder="1" applyAlignment="1">
      <alignment horizontal="center" vertical="center"/>
    </xf>
    <xf numFmtId="0" fontId="10" fillId="9" borderId="5" xfId="1" applyFont="1" applyFill="1" applyBorder="1" applyAlignment="1">
      <alignment horizontal="center" vertical="center" wrapText="1"/>
    </xf>
    <xf numFmtId="164" fontId="10" fillId="9" borderId="15" xfId="1" applyNumberFormat="1" applyFont="1" applyFill="1" applyBorder="1" applyAlignment="1">
      <alignment horizontal="center" vertical="center" wrapText="1"/>
    </xf>
    <xf numFmtId="164" fontId="10" fillId="9" borderId="16" xfId="1" applyNumberFormat="1" applyFont="1" applyFill="1" applyBorder="1" applyAlignment="1">
      <alignment horizontal="center" vertical="center" wrapText="1"/>
    </xf>
    <xf numFmtId="164" fontId="10" fillId="9" borderId="29" xfId="1" applyNumberFormat="1" applyFont="1" applyFill="1" applyBorder="1" applyAlignment="1">
      <alignment horizontal="center" vertical="center" wrapText="1"/>
    </xf>
    <xf numFmtId="164" fontId="10" fillId="9" borderId="30" xfId="1" applyNumberFormat="1" applyFont="1" applyFill="1" applyBorder="1" applyAlignment="1">
      <alignment horizontal="center" vertical="center" wrapText="1"/>
    </xf>
    <xf numFmtId="0" fontId="10" fillId="9" borderId="5" xfId="1" applyFont="1" applyFill="1" applyBorder="1" applyAlignment="1">
      <alignment horizontal="center" vertical="center"/>
    </xf>
    <xf numFmtId="164" fontId="15" fillId="6" borderId="8" xfId="1" applyNumberFormat="1" applyFont="1" applyFill="1" applyBorder="1" applyAlignment="1" applyProtection="1">
      <alignment horizontal="center" vertical="center"/>
    </xf>
    <xf numFmtId="164" fontId="15" fillId="6" borderId="9" xfId="1" applyNumberFormat="1" applyFont="1" applyFill="1" applyBorder="1" applyAlignment="1" applyProtection="1">
      <alignment horizontal="center" vertical="center"/>
    </xf>
    <xf numFmtId="0" fontId="13" fillId="3" borderId="15" xfId="1" applyFill="1" applyBorder="1" applyAlignment="1">
      <alignment horizontal="center" vertical="center"/>
    </xf>
    <xf numFmtId="0" fontId="13" fillId="3" borderId="17" xfId="1" applyFill="1" applyBorder="1" applyAlignment="1">
      <alignment horizontal="center" vertical="center"/>
    </xf>
    <xf numFmtId="0" fontId="11" fillId="9" borderId="5" xfId="1" applyFont="1" applyFill="1" applyBorder="1" applyAlignment="1">
      <alignment horizontal="center" vertical="center"/>
    </xf>
    <xf numFmtId="0" fontId="11" fillId="9" borderId="12" xfId="1" applyFont="1" applyFill="1" applyBorder="1" applyAlignment="1">
      <alignment horizontal="center" vertical="center"/>
    </xf>
    <xf numFmtId="0" fontId="13" fillId="0" borderId="0" xfId="1" applyAlignment="1">
      <alignment horizontal="center" vertical="center"/>
    </xf>
    <xf numFmtId="0" fontId="13" fillId="0" borderId="0" xfId="1" applyAlignment="1">
      <alignment horizontal="center"/>
    </xf>
  </cellXfs>
  <cellStyles count="4">
    <cellStyle name="Normal" xfId="0" builtinId="0"/>
    <cellStyle name="Normal 2" xfId="1"/>
    <cellStyle name="Percent" xfId="3" builtinId="5"/>
    <cellStyle name="Yüzde 2" xfId="2"/>
  </cellStyles>
  <dxfs count="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6" tint="0.79998168889431442"/>
      </font>
      <fill>
        <patternFill>
          <bgColor theme="6" tint="0.79998168889431442"/>
        </patternFill>
      </fill>
    </dxf>
    <dxf>
      <font>
        <color theme="8" tint="0.79998168889431442"/>
      </font>
      <fill>
        <patternFill patternType="solid">
          <bgColor theme="8" tint="0.79998168889431442"/>
        </patternFill>
      </fill>
    </dxf>
    <dxf>
      <font>
        <color theme="6" tint="0.79998168889431442"/>
      </font>
      <fill>
        <patternFill>
          <bgColor theme="6" tint="0.79998168889431442"/>
        </patternFill>
      </fill>
    </dxf>
    <dxf>
      <font>
        <color theme="8" tint="0.79998168889431442"/>
      </font>
      <fill>
        <patternFill patternType="solid">
          <bgColor theme="8" tint="0.79998168889431442"/>
        </patternFill>
      </fill>
    </dxf>
    <dxf>
      <font>
        <color theme="1"/>
      </font>
      <fill>
        <patternFill>
          <bgColor rgb="FFFA0000"/>
        </patternFill>
      </fill>
    </dxf>
    <dxf>
      <font>
        <color theme="0"/>
      </font>
      <fill>
        <patternFill>
          <bgColor rgb="FF6CD68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6" tint="0.79998168889431442"/>
      </font>
      <fill>
        <patternFill>
          <bgColor theme="6" tint="0.79998168889431442"/>
        </patternFill>
      </fill>
    </dxf>
    <dxf>
      <font>
        <color theme="8" tint="0.79998168889431442"/>
      </font>
      <fill>
        <patternFill patternType="solid">
          <bgColor theme="8" tint="0.79998168889431442"/>
        </patternFill>
      </fill>
    </dxf>
    <dxf>
      <font>
        <color theme="6" tint="0.79998168889431442"/>
      </font>
      <fill>
        <patternFill>
          <bgColor theme="6" tint="0.79998168889431442"/>
        </patternFill>
      </fill>
    </dxf>
    <dxf>
      <font>
        <color theme="8" tint="0.79998168889431442"/>
      </font>
      <fill>
        <patternFill patternType="solid">
          <bgColor theme="8" tint="0.79998168889431442"/>
        </patternFill>
      </fill>
    </dxf>
    <dxf>
      <font>
        <color theme="1"/>
      </font>
      <fill>
        <patternFill>
          <bgColor rgb="FFFA0000"/>
        </patternFill>
      </fill>
    </dxf>
    <dxf>
      <font>
        <color theme="0"/>
      </font>
      <fill>
        <patternFill>
          <bgColor rgb="FF6CD680"/>
        </patternFill>
      </fill>
    </dxf>
  </dxfs>
  <tableStyles count="0" defaultTableStyle="TableStyleMedium9" defaultPivotStyle="PivotStyleLight16"/>
  <colors>
    <mruColors>
      <color rgb="FF99FF66"/>
      <color rgb="FFFF1111"/>
      <color rgb="FFFF3737"/>
      <color rgb="FF2D9D13"/>
      <color rgb="FFFF7C80"/>
      <color rgb="FF99FF99"/>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barChart>
        <c:barDir val="col"/>
        <c:grouping val="clustered"/>
        <c:varyColors val="0"/>
        <c:ser>
          <c:idx val="0"/>
          <c:order val="0"/>
          <c:tx>
            <c:strRef>
              <c:f>GRAFIK!$J$2</c:f>
              <c:strCache>
                <c:ptCount val="1"/>
                <c:pt idx="0">
                  <c:v>#REF!</c:v>
                </c:pt>
              </c:strCache>
            </c:strRef>
          </c:tx>
          <c:spPr>
            <a:solidFill>
              <a:schemeClr val="accent1"/>
            </a:solidFill>
            <a:ln>
              <a:noFill/>
            </a:ln>
            <a:effectLst/>
          </c:spPr>
          <c:invertIfNegative val="0"/>
          <c:val>
            <c:numRef>
              <c:f>GRAFIK!$J$3:$J$16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C6A-44DB-8EC4-F5D1757EB0B2}"/>
            </c:ext>
            <c:ext xmlns:c15="http://schemas.microsoft.com/office/drawing/2012/chart" uri="{02D57815-91ED-43cb-92C2-25804820EDAC}">
              <c15:filteredCategoryTitle>
                <c15:cat>
                  <c:multiLvlStrRef>
                    <c:extLst xmlns:c16="http://schemas.microsoft.com/office/drawing/2014/chart" xmlns:c16r2="http://schemas.microsoft.com/office/drawing/2015/06/chart">
                      <c:ext uri="{02D57815-91ED-43cb-92C2-25804820EDAC}">
                        <c15:formulaRef>
                          <c15:sqref>GRAFIK!$I$3:$I$16</c15:sqref>
                        </c15:formulaRef>
                      </c:ext>
                    </c:extLst>
                  </c:multiLvlStrRef>
                </c15:cat>
              </c15:filteredCategoryTitle>
            </c:ext>
          </c:extLst>
        </c:ser>
        <c:dLbls>
          <c:showLegendKey val="0"/>
          <c:showVal val="0"/>
          <c:showCatName val="0"/>
          <c:showSerName val="0"/>
          <c:showPercent val="0"/>
          <c:showBubbleSize val="0"/>
        </c:dLbls>
        <c:gapWidth val="219"/>
        <c:overlap val="-27"/>
        <c:axId val="816811088"/>
        <c:axId val="816808368"/>
      </c:barChart>
      <c:catAx>
        <c:axId val="81681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816808368"/>
        <c:crosses val="autoZero"/>
        <c:auto val="1"/>
        <c:lblAlgn val="ctr"/>
        <c:lblOffset val="100"/>
        <c:noMultiLvlLbl val="0"/>
      </c:catAx>
      <c:valAx>
        <c:axId val="81680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816811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FFC000"/>
            </a:solidFill>
          </c:spPr>
          <c:dPt>
            <c:idx val="0"/>
            <c:bubble3D val="0"/>
            <c:spPr>
              <a:solidFill>
                <a:srgbClr val="C00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1-17D4-4A8F-B368-ED105B354FD4}"/>
              </c:ext>
            </c:extLst>
          </c:dPt>
          <c:dPt>
            <c:idx val="1"/>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3-17D4-4A8F-B368-ED105B354FD4}"/>
              </c:ext>
            </c:extLst>
          </c:dPt>
          <c:dPt>
            <c:idx val="2"/>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5-17D4-4A8F-B368-ED105B354FD4}"/>
              </c:ext>
            </c:extLst>
          </c:dPt>
          <c:dPt>
            <c:idx val="3"/>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7-17D4-4A8F-B368-ED105B354FD4}"/>
              </c:ext>
            </c:extLst>
          </c:dPt>
          <c:dPt>
            <c:idx val="4"/>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9-17D4-4A8F-B368-ED105B354FD4}"/>
              </c:ext>
            </c:extLst>
          </c:dPt>
          <c:dPt>
            <c:idx val="5"/>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B-17D4-4A8F-B368-ED105B354FD4}"/>
              </c:ext>
            </c:extLst>
          </c:dPt>
          <c:dPt>
            <c:idx val="6"/>
            <c:bubble3D val="0"/>
            <c:spPr>
              <a:solidFill>
                <a:schemeClr val="accent4">
                  <a:lumMod val="75000"/>
                </a:schemeClr>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D-17D4-4A8F-B368-ED105B354FD4}"/>
              </c:ext>
            </c:extLst>
          </c:dPt>
          <c:dPt>
            <c:idx val="7"/>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F-17D4-4A8F-B368-ED105B354FD4}"/>
              </c:ext>
            </c:extLst>
          </c:dPt>
          <c:dPt>
            <c:idx val="8"/>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11-17D4-4A8F-B368-ED105B354FD4}"/>
              </c:ext>
            </c:extLst>
          </c:dPt>
          <c:dPt>
            <c:idx val="9"/>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13-17D4-4A8F-B368-ED105B354FD4}"/>
              </c:ext>
            </c:extLst>
          </c:dPt>
          <c:dPt>
            <c:idx val="10"/>
            <c:bubble3D val="0"/>
            <c:spPr>
              <a:solidFill>
                <a:srgbClr val="FFC00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15-17D4-4A8F-B368-ED105B354FD4}"/>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lumMod val="85000"/>
                      </a:schemeClr>
                    </a:solidFill>
                    <a:latin typeface="+mn-lt"/>
                    <a:ea typeface="+mn-ea"/>
                    <a:cs typeface="+mn-cs"/>
                  </a:defRPr>
                </a:pPr>
                <a:endParaRPr lang="tr-TR"/>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xmlns:c16r2="http://schemas.microsoft.com/office/drawing/2015/06/chart">
              <c:ext xmlns:c15="http://schemas.microsoft.com/office/drawing/2012/chart" uri="{CE6537A1-D6FC-4f65-9D91-7224C49458BB}">
                <c15:layout/>
              </c:ext>
            </c:extLst>
          </c:dLbls>
          <c:cat>
            <c:strRef>
              <c:f>(Anasayfa!$A$8:$F$8,Anasayfa!$M$8:$Q$8)</c:f>
              <c:strCache>
                <c:ptCount val="7"/>
                <c:pt idx="0">
                  <c:v>Hisse Senedi Yatırım Toplamı</c:v>
                </c:pt>
                <c:pt idx="6">
                  <c:v>Altın Yatırım Toplamı</c:v>
                </c:pt>
              </c:strCache>
            </c:strRef>
          </c:cat>
          <c:val>
            <c:numRef>
              <c:f>(Anasayfa!$A$9:$F$9,Anasayfa!$M$9:$Q$9)</c:f>
              <c:numCache>
                <c:formatCode>"₺"#,##0.00</c:formatCode>
                <c:ptCount val="11"/>
                <c:pt idx="0">
                  <c:v>152855.65000000002</c:v>
                </c:pt>
                <c:pt idx="6">
                  <c:v>0</c:v>
                </c:pt>
              </c:numCache>
            </c:numRef>
          </c:val>
          <c:extLst xmlns:c16r2="http://schemas.microsoft.com/office/drawing/2015/06/chart">
            <c:ext xmlns:c16="http://schemas.microsoft.com/office/drawing/2014/chart" uri="{C3380CC4-5D6E-409C-BE32-E72D297353CC}">
              <c16:uniqueId val="{00000000-CA46-4282-A45D-59DD8F99B1E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117230</xdr:colOff>
      <xdr:row>4</xdr:row>
      <xdr:rowOff>14654</xdr:rowOff>
    </xdr:from>
    <xdr:to>
      <xdr:col>25</xdr:col>
      <xdr:colOff>582706</xdr:colOff>
      <xdr:row>15</xdr:row>
      <xdr:rowOff>11206</xdr:rowOff>
    </xdr:to>
    <xdr:graphicFrame macro="">
      <xdr:nvGraphicFramePr>
        <xdr:cNvPr id="11" name="Grafik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703858</xdr:colOff>
      <xdr:row>6</xdr:row>
      <xdr:rowOff>294411</xdr:rowOff>
    </xdr:from>
    <xdr:to>
      <xdr:col>11</xdr:col>
      <xdr:colOff>1056408</xdr:colOff>
      <xdr:row>16</xdr:row>
      <xdr:rowOff>86592</xdr:rowOff>
    </xdr:to>
    <xdr:graphicFrame macro="">
      <xdr:nvGraphicFramePr>
        <xdr:cNvPr id="3" name="Grafik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hisseler" backgroundRefresh="0"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3"/>
  <dimension ref="A1:S27"/>
  <sheetViews>
    <sheetView zoomScale="130" zoomScaleNormal="130" workbookViewId="0">
      <selection activeCell="F6" sqref="F6"/>
    </sheetView>
  </sheetViews>
  <sheetFormatPr defaultRowHeight="15" x14ac:dyDescent="0.25"/>
  <cols>
    <col min="1" max="1" width="7.28515625" customWidth="1"/>
    <col min="2" max="2" width="19.140625" customWidth="1"/>
    <col min="3" max="3" width="12" customWidth="1"/>
    <col min="4" max="4" width="14.140625" customWidth="1"/>
    <col min="5" max="5" width="10.85546875" customWidth="1"/>
    <col min="6" max="6" width="15.28515625" customWidth="1"/>
    <col min="10" max="14" width="18" customWidth="1"/>
  </cols>
  <sheetData>
    <row r="1" spans="1:19" ht="40.5" customHeight="1" x14ac:dyDescent="0.25">
      <c r="A1" s="86" t="str">
        <f>"Portföyünüzde "&amp;COUNTA(#REF!)&amp;" hisse bulunmaktadır."</f>
        <v>Portföyünüzde 1 hisse bulunmaktadır.</v>
      </c>
      <c r="B1" s="86"/>
      <c r="C1" s="86"/>
      <c r="D1" s="86"/>
      <c r="E1" s="86"/>
      <c r="F1" s="11"/>
      <c r="J1" s="4"/>
      <c r="K1" s="4"/>
      <c r="L1" s="5"/>
      <c r="M1" s="5"/>
      <c r="N1" s="5"/>
      <c r="S1" t="e">
        <f>IF(#REF!=#REF!,ROW(),IF(#REF!=#REF!,ROW()+1,IF(#REF!=#REF!,ROW()+2,IF(#REF!=#REF!,ROW()+3,IF(#REF!=#REF!,ROW()+4,IF(#REF!=#REF!,ROW()+5,))))))</f>
        <v>#REF!</v>
      </c>
    </row>
    <row r="2" spans="1:19" ht="51" customHeight="1" x14ac:dyDescent="0.25">
      <c r="A2" s="4" t="s">
        <v>14</v>
      </c>
      <c r="B2" s="4" t="s">
        <v>15</v>
      </c>
      <c r="C2" s="4" t="s">
        <v>16</v>
      </c>
      <c r="D2" s="5" t="s">
        <v>18</v>
      </c>
      <c r="E2" s="5" t="s">
        <v>12</v>
      </c>
      <c r="F2" s="5" t="s">
        <v>1</v>
      </c>
      <c r="G2" s="5" t="s">
        <v>19</v>
      </c>
      <c r="H2" s="5" t="s">
        <v>20</v>
      </c>
      <c r="J2" s="8" t="e">
        <f>IF($S$1=1,C2,IF($S$1=2,D2,IF($S$1=3,E2,IF($S$1=4,F2,IF($S$1=5,G2,IF($S$1=6,H2,))))))</f>
        <v>#REF!</v>
      </c>
      <c r="K2" s="8"/>
      <c r="L2" s="8"/>
      <c r="M2" s="8"/>
      <c r="N2" s="8"/>
    </row>
    <row r="3" spans="1:19" ht="21.75" customHeight="1" x14ac:dyDescent="0.25">
      <c r="A3" s="1">
        <f>IF(ROW()-2&lt;=COUNTA(#REF!),ROW()-2,"")</f>
        <v>1</v>
      </c>
      <c r="B3" s="6" t="str">
        <f>IFERROR(VLOOKUP(#REF!,#REF!,2,0),"")</f>
        <v/>
      </c>
      <c r="C3" s="7" t="str">
        <f>IFERROR(VLOOKUP(#REF!,#REF!,2,0),"")</f>
        <v/>
      </c>
      <c r="D3" s="7" t="str">
        <f>IFERROR(VLOOKUP(#REF!,#REF!,6,0),"")</f>
        <v/>
      </c>
      <c r="E3" s="7" t="str">
        <f>IFERROR(VLOOKUP(#REF!,#REF!,7,0),"")</f>
        <v/>
      </c>
      <c r="F3" s="7" t="str">
        <f>IFERROR(VLOOKUP(#REF!,#REF!,2,0),"")</f>
        <v/>
      </c>
      <c r="G3" s="7" t="str">
        <f>IFERROR(VLOOKUP(#REF!,#REF!,1,0),"")</f>
        <v/>
      </c>
      <c r="H3" s="7" t="str">
        <f>IFERROR(VLOOKUP(#REF!,#REF!,5,0),"")</f>
        <v/>
      </c>
      <c r="I3" t="str">
        <f>IFERROR(VLOOKUP(#REF!,#REF!,2,0),"")</f>
        <v/>
      </c>
      <c r="J3" s="8" t="e">
        <f t="shared" ref="J3:J17" si="0">IF($S$1=1,C3,IF($S$1=2,D3,IF($S$1=3,E3,IF($S$1=4,F3,IF($S$1=5,G3,IF($S$1=6,H3,))))))</f>
        <v>#REF!</v>
      </c>
      <c r="K3" s="8"/>
      <c r="L3" s="8"/>
    </row>
    <row r="4" spans="1:19" ht="21.75" customHeight="1" x14ac:dyDescent="0.35">
      <c r="A4" s="1" t="str">
        <f>IF(ROW()-2&lt;=COUNTA(#REF!),ROW()-2,"")</f>
        <v/>
      </c>
      <c r="B4" s="6" t="str">
        <f>IFERROR(VLOOKUP(#REF!,#REF!,2,0),"")</f>
        <v/>
      </c>
      <c r="C4" s="7" t="str">
        <f>IFERROR(VLOOKUP(#REF!,#REF!,2,0),"")</f>
        <v/>
      </c>
      <c r="D4" s="7" t="str">
        <f>IFERROR(VLOOKUP(#REF!,#REF!,6,0),"")</f>
        <v/>
      </c>
      <c r="E4" s="7" t="str">
        <f>IFERROR(VLOOKUP(#REF!,#REF!,7,0),"")</f>
        <v/>
      </c>
      <c r="F4" s="7" t="str">
        <f>IFERROR(VLOOKUP(#REF!,#REF!,2,0),"")</f>
        <v/>
      </c>
      <c r="G4" s="7" t="str">
        <f>IFERROR(VLOOKUP(#REF!,#REF!,1,0),"")</f>
        <v/>
      </c>
      <c r="H4" s="7" t="str">
        <f>IFERROR(VLOOKUP(#REF!,#REF!,5,0),"")</f>
        <v/>
      </c>
      <c r="I4" t="str">
        <f>IFERROR(VLOOKUP(#REF!,#REF!,2,0),"")</f>
        <v/>
      </c>
      <c r="J4" s="8" t="e">
        <f t="shared" si="0"/>
        <v>#REF!</v>
      </c>
      <c r="K4" s="8"/>
      <c r="L4" s="8"/>
      <c r="N4" s="10"/>
    </row>
    <row r="5" spans="1:19" ht="21.75" customHeight="1" x14ac:dyDescent="0.25">
      <c r="A5" s="1" t="str">
        <f>IF(ROW()-2&lt;=COUNTA(#REF!),ROW()-2,"")</f>
        <v/>
      </c>
      <c r="B5" s="6" t="str">
        <f>IFERROR(VLOOKUP(#REF!,#REF!,2,0),"")</f>
        <v/>
      </c>
      <c r="C5" s="7" t="str">
        <f>IFERROR(VLOOKUP(#REF!,#REF!,2,0),"")</f>
        <v/>
      </c>
      <c r="D5" s="7" t="str">
        <f>IFERROR(VLOOKUP(#REF!,#REF!,6,0),"")</f>
        <v/>
      </c>
      <c r="E5" s="7" t="str">
        <f>IFERROR(VLOOKUP(#REF!,#REF!,7,0),"")</f>
        <v/>
      </c>
      <c r="F5" s="7" t="str">
        <f>IFERROR(VLOOKUP(#REF!,#REF!,2,0),"")</f>
        <v/>
      </c>
      <c r="G5" s="7" t="str">
        <f>IFERROR(VLOOKUP(#REF!,#REF!,1,0),"")</f>
        <v/>
      </c>
      <c r="H5" s="7" t="str">
        <f>IFERROR(VLOOKUP(#REF!,#REF!,5,0),"")</f>
        <v/>
      </c>
      <c r="I5" t="str">
        <f>IFERROR(VLOOKUP(#REF!,#REF!,2,0),"")</f>
        <v/>
      </c>
      <c r="J5" s="8" t="e">
        <f t="shared" si="0"/>
        <v>#REF!</v>
      </c>
      <c r="K5" s="8"/>
      <c r="L5" s="8"/>
      <c r="N5" s="9"/>
    </row>
    <row r="6" spans="1:19" ht="21.75" customHeight="1" x14ac:dyDescent="0.25">
      <c r="A6" s="1" t="str">
        <f>IF(ROW()-2&lt;=COUNTA(#REF!),ROW()-2,"")</f>
        <v/>
      </c>
      <c r="B6" s="6" t="str">
        <f>IFERROR(VLOOKUP(#REF!,#REF!,2,0),"")</f>
        <v/>
      </c>
      <c r="C6" s="7" t="str">
        <f>IFERROR(VLOOKUP(#REF!,#REF!,2,0),"")</f>
        <v/>
      </c>
      <c r="D6" s="7" t="str">
        <f>IFERROR(VLOOKUP(#REF!,#REF!,6,0),"")</f>
        <v/>
      </c>
      <c r="E6" s="7" t="str">
        <f>IFERROR(VLOOKUP(#REF!,#REF!,7,0),"")</f>
        <v/>
      </c>
      <c r="F6" s="7" t="str">
        <f>IFERROR(VLOOKUP(#REF!,#REF!,2,0),"")</f>
        <v/>
      </c>
      <c r="G6" s="7" t="str">
        <f>IFERROR(VLOOKUP(#REF!,#REF!,1,0),"")</f>
        <v/>
      </c>
      <c r="H6" s="7" t="str">
        <f>IFERROR(VLOOKUP(#REF!,#REF!,5,0),"")</f>
        <v/>
      </c>
      <c r="I6" t="str">
        <f>IFERROR(VLOOKUP(#REF!,#REF!,2,0),"")</f>
        <v/>
      </c>
      <c r="J6" s="8" t="e">
        <f t="shared" si="0"/>
        <v>#REF!</v>
      </c>
      <c r="K6" s="8"/>
      <c r="L6" s="8"/>
    </row>
    <row r="7" spans="1:19" ht="21.75" customHeight="1" x14ac:dyDescent="0.25">
      <c r="A7" s="1" t="str">
        <f>IF(ROW()-2&lt;=COUNTA(#REF!),ROW()-2,"")</f>
        <v/>
      </c>
      <c r="B7" s="6" t="str">
        <f>IFERROR(VLOOKUP(#REF!,#REF!,2,0),"")</f>
        <v/>
      </c>
      <c r="C7" s="7" t="str">
        <f>IFERROR(VLOOKUP(#REF!,#REF!,2,0),"")</f>
        <v/>
      </c>
      <c r="D7" s="7" t="str">
        <f>IFERROR(VLOOKUP(#REF!,#REF!,6,0),"")</f>
        <v/>
      </c>
      <c r="E7" s="7" t="str">
        <f>IFERROR(VLOOKUP(#REF!,#REF!,7,0),"")</f>
        <v/>
      </c>
      <c r="F7" s="7" t="str">
        <f>IFERROR(VLOOKUP(#REF!,#REF!,2,0),"")</f>
        <v/>
      </c>
      <c r="G7" s="7" t="str">
        <f>IFERROR(VLOOKUP(#REF!,#REF!,1,0),"")</f>
        <v/>
      </c>
      <c r="H7" s="7" t="str">
        <f>IFERROR(VLOOKUP(#REF!,#REF!,5,0),"")</f>
        <v/>
      </c>
      <c r="I7" t="str">
        <f>IFERROR(VLOOKUP(#REF!,#REF!,2,0),"")</f>
        <v/>
      </c>
      <c r="J7" s="8" t="e">
        <f t="shared" si="0"/>
        <v>#REF!</v>
      </c>
      <c r="K7" s="8"/>
      <c r="L7" s="8"/>
    </row>
    <row r="8" spans="1:19" ht="21.75" customHeight="1" x14ac:dyDescent="0.25">
      <c r="A8" s="1" t="str">
        <f>IF(ROW()-2&lt;=COUNTA(#REF!),ROW()-2,"")</f>
        <v/>
      </c>
      <c r="B8" s="6" t="str">
        <f>IFERROR(VLOOKUP(#REF!,#REF!,2,0),"")</f>
        <v/>
      </c>
      <c r="C8" s="7" t="str">
        <f>IFERROR(VLOOKUP(#REF!,#REF!,2,0),"")</f>
        <v/>
      </c>
      <c r="D8" s="7" t="str">
        <f>IFERROR(VLOOKUP(#REF!,#REF!,6,0),"")</f>
        <v/>
      </c>
      <c r="E8" s="7" t="str">
        <f>IFERROR(VLOOKUP(#REF!,#REF!,7,0),"")</f>
        <v/>
      </c>
      <c r="F8" s="7" t="str">
        <f>IFERROR(VLOOKUP(#REF!,#REF!,2,0),"")</f>
        <v/>
      </c>
      <c r="G8" s="7" t="str">
        <f>IFERROR(VLOOKUP(#REF!,#REF!,1,0),"")</f>
        <v/>
      </c>
      <c r="H8" s="7" t="str">
        <f>IFERROR(VLOOKUP(#REF!,#REF!,5,0),"")</f>
        <v/>
      </c>
      <c r="I8" t="str">
        <f>IFERROR(VLOOKUP(#REF!,#REF!,2,0),"")</f>
        <v/>
      </c>
      <c r="J8" s="8" t="e">
        <f t="shared" si="0"/>
        <v>#REF!</v>
      </c>
      <c r="K8" s="8"/>
      <c r="L8" s="8"/>
    </row>
    <row r="9" spans="1:19" ht="21.75" customHeight="1" x14ac:dyDescent="0.25">
      <c r="A9" s="1" t="str">
        <f>IF(ROW()-2&lt;=COUNTA(#REF!),ROW()-2,"")</f>
        <v/>
      </c>
      <c r="B9" s="6" t="str">
        <f>IFERROR(VLOOKUP(#REF!,#REF!,2,0),"")</f>
        <v/>
      </c>
      <c r="C9" s="7" t="str">
        <f>IFERROR(VLOOKUP(#REF!,#REF!,2,0),"")</f>
        <v/>
      </c>
      <c r="D9" s="7" t="str">
        <f>IFERROR(VLOOKUP(#REF!,#REF!,6,0),"")</f>
        <v/>
      </c>
      <c r="E9" s="7" t="str">
        <f>IFERROR(VLOOKUP(#REF!,#REF!,7,0),"")</f>
        <v/>
      </c>
      <c r="F9" s="7" t="str">
        <f>IFERROR(VLOOKUP(#REF!,#REF!,2,0),"")</f>
        <v/>
      </c>
      <c r="G9" s="7" t="str">
        <f>IFERROR(VLOOKUP(#REF!,#REF!,1,0),"")</f>
        <v/>
      </c>
      <c r="H9" s="7" t="str">
        <f>IFERROR(VLOOKUP(#REF!,#REF!,5,0),"")</f>
        <v/>
      </c>
      <c r="I9" t="str">
        <f>IFERROR(VLOOKUP(#REF!,#REF!,2,0),"")</f>
        <v/>
      </c>
      <c r="J9" s="8" t="e">
        <f t="shared" si="0"/>
        <v>#REF!</v>
      </c>
      <c r="K9" s="8"/>
      <c r="L9" s="8"/>
    </row>
    <row r="10" spans="1:19" ht="21.75" customHeight="1" x14ac:dyDescent="0.25">
      <c r="A10" s="1" t="str">
        <f>IF(ROW()-2&lt;=COUNTA(#REF!),ROW()-2,"")</f>
        <v/>
      </c>
      <c r="B10" s="6" t="str">
        <f>IFERROR(VLOOKUP(#REF!,#REF!,2,0),"")</f>
        <v/>
      </c>
      <c r="C10" s="7" t="str">
        <f>IFERROR(VLOOKUP(#REF!,#REF!,2,0),"")</f>
        <v/>
      </c>
      <c r="D10" s="7" t="str">
        <f>IFERROR(VLOOKUP(#REF!,#REF!,6,0),"")</f>
        <v/>
      </c>
      <c r="E10" s="7" t="str">
        <f>IFERROR(VLOOKUP(#REF!,#REF!,7,0),"")</f>
        <v/>
      </c>
      <c r="F10" s="7" t="str">
        <f>IFERROR(VLOOKUP(#REF!,#REF!,2,0),"")</f>
        <v/>
      </c>
      <c r="G10" s="7" t="str">
        <f>IFERROR(VLOOKUP(#REF!,#REF!,1,0),"")</f>
        <v/>
      </c>
      <c r="H10" s="7" t="str">
        <f>IFERROR(VLOOKUP(#REF!,#REF!,5,0),"")</f>
        <v/>
      </c>
      <c r="I10" t="str">
        <f>IFERROR(VLOOKUP(#REF!,#REF!,2,0),"")</f>
        <v/>
      </c>
      <c r="J10" s="8" t="e">
        <f t="shared" si="0"/>
        <v>#REF!</v>
      </c>
      <c r="K10" s="8"/>
      <c r="L10" s="8"/>
    </row>
    <row r="11" spans="1:19" ht="21.75" customHeight="1" x14ac:dyDescent="0.25">
      <c r="A11" s="1" t="str">
        <f>IF(ROW()-2&lt;=COUNTA(#REF!),ROW()-2,"")</f>
        <v/>
      </c>
      <c r="B11" s="6" t="str">
        <f>IFERROR(VLOOKUP(#REF!,#REF!,2,0),"")</f>
        <v/>
      </c>
      <c r="C11" s="7" t="str">
        <f>IFERROR(VLOOKUP(#REF!,#REF!,2,0),"")</f>
        <v/>
      </c>
      <c r="D11" s="7" t="str">
        <f>IFERROR(VLOOKUP(#REF!,#REF!,6,0),"")</f>
        <v/>
      </c>
      <c r="E11" s="7" t="str">
        <f>IFERROR(VLOOKUP(#REF!,#REF!,7,0),"")</f>
        <v/>
      </c>
      <c r="F11" s="7" t="str">
        <f>IFERROR(VLOOKUP(#REF!,#REF!,2,0),"")</f>
        <v/>
      </c>
      <c r="G11" s="7" t="str">
        <f>IFERROR(VLOOKUP(#REF!,#REF!,1,0),"")</f>
        <v/>
      </c>
      <c r="H11" s="7" t="str">
        <f>IFERROR(VLOOKUP(#REF!,#REF!,5,0),"")</f>
        <v/>
      </c>
      <c r="I11" t="str">
        <f>IFERROR(VLOOKUP(#REF!,#REF!,2,0),"")</f>
        <v/>
      </c>
      <c r="J11" s="8" t="e">
        <f t="shared" si="0"/>
        <v>#REF!</v>
      </c>
      <c r="K11" s="8"/>
      <c r="L11" s="8"/>
    </row>
    <row r="12" spans="1:19" ht="21.75" customHeight="1" x14ac:dyDescent="0.25">
      <c r="A12" s="1" t="str">
        <f>IF(ROW()-2&lt;=COUNTA(#REF!),ROW()-2,"")</f>
        <v/>
      </c>
      <c r="B12" s="6" t="str">
        <f>IFERROR(VLOOKUP(#REF!,#REF!,2,0),"")</f>
        <v/>
      </c>
      <c r="C12" s="7" t="str">
        <f>IFERROR(VLOOKUP(#REF!,#REF!,2,0),"")</f>
        <v/>
      </c>
      <c r="D12" s="7" t="str">
        <f>IFERROR(VLOOKUP(#REF!,#REF!,6,0),"")</f>
        <v/>
      </c>
      <c r="E12" s="7" t="str">
        <f>IFERROR(VLOOKUP(#REF!,#REF!,7,0),"")</f>
        <v/>
      </c>
      <c r="F12" s="7" t="str">
        <f>IFERROR(VLOOKUP(#REF!,#REF!,2,0),"")</f>
        <v/>
      </c>
      <c r="G12" s="7" t="str">
        <f>IFERROR(VLOOKUP(#REF!,#REF!,1,0),"")</f>
        <v/>
      </c>
      <c r="H12" s="7" t="str">
        <f>IFERROR(VLOOKUP(#REF!,#REF!,5,0),"")</f>
        <v/>
      </c>
      <c r="I12" t="str">
        <f>IFERROR(VLOOKUP(#REF!,#REF!,2,0),"")</f>
        <v/>
      </c>
      <c r="J12" s="8" t="e">
        <f t="shared" si="0"/>
        <v>#REF!</v>
      </c>
      <c r="K12" s="8"/>
      <c r="L12" s="8"/>
    </row>
    <row r="13" spans="1:19" ht="21.75" customHeight="1" x14ac:dyDescent="0.25">
      <c r="A13" s="1" t="str">
        <f>IF(ROW()-2&lt;=COUNTA(#REF!),ROW()-2,"")</f>
        <v/>
      </c>
      <c r="B13" s="6" t="str">
        <f>IFERROR(VLOOKUP(#REF!,#REF!,2,0),"")</f>
        <v/>
      </c>
      <c r="C13" s="7" t="str">
        <f>IFERROR(VLOOKUP(#REF!,#REF!,2,0),"")</f>
        <v/>
      </c>
      <c r="D13" s="7" t="str">
        <f>IFERROR(VLOOKUP(#REF!,#REF!,6,0),"")</f>
        <v/>
      </c>
      <c r="E13" s="7" t="str">
        <f>IFERROR(VLOOKUP(#REF!,#REF!,7,0),"")</f>
        <v/>
      </c>
      <c r="F13" s="7" t="str">
        <f>IFERROR(VLOOKUP(#REF!,#REF!,2,0),"")</f>
        <v/>
      </c>
      <c r="G13" s="7" t="str">
        <f>IFERROR(VLOOKUP(#REF!,#REF!,1,0),"")</f>
        <v/>
      </c>
      <c r="H13" s="7" t="str">
        <f>IFERROR(VLOOKUP(#REF!,#REF!,5,0),"")</f>
        <v/>
      </c>
      <c r="I13" t="str">
        <f>IFERROR(VLOOKUP(#REF!,#REF!,2,0),"")</f>
        <v/>
      </c>
      <c r="J13" s="8" t="e">
        <f t="shared" si="0"/>
        <v>#REF!</v>
      </c>
      <c r="K13" s="8"/>
      <c r="L13" s="8"/>
    </row>
    <row r="14" spans="1:19" ht="21.75" customHeight="1" x14ac:dyDescent="0.25">
      <c r="A14" s="1" t="str">
        <f>IF(ROW()-2&lt;=COUNTA(#REF!),ROW()-2,"")</f>
        <v/>
      </c>
      <c r="B14" s="6" t="str">
        <f>IFERROR(VLOOKUP(#REF!,#REF!,2,0),"")</f>
        <v/>
      </c>
      <c r="C14" s="7" t="str">
        <f>IFERROR(VLOOKUP(#REF!,#REF!,2,0),"")</f>
        <v/>
      </c>
      <c r="D14" s="7" t="str">
        <f>IFERROR(VLOOKUP(#REF!,#REF!,6,0),"")</f>
        <v/>
      </c>
      <c r="E14" s="7" t="str">
        <f>IFERROR(VLOOKUP(#REF!,#REF!,7,0),"")</f>
        <v/>
      </c>
      <c r="F14" s="7" t="str">
        <f>IFERROR(VLOOKUP(#REF!,#REF!,2,0),"")</f>
        <v/>
      </c>
      <c r="G14" s="7" t="str">
        <f>IFERROR(VLOOKUP(#REF!,#REF!,1,0),"")</f>
        <v/>
      </c>
      <c r="H14" s="7" t="str">
        <f>IFERROR(VLOOKUP(#REF!,#REF!,5,0),"")</f>
        <v/>
      </c>
      <c r="I14" t="str">
        <f>IFERROR(VLOOKUP(#REF!,#REF!,2,0),"")</f>
        <v/>
      </c>
      <c r="J14" s="8" t="e">
        <f t="shared" si="0"/>
        <v>#REF!</v>
      </c>
      <c r="K14" s="8"/>
      <c r="L14" s="8"/>
    </row>
    <row r="15" spans="1:19" ht="21.75" customHeight="1" x14ac:dyDescent="0.25">
      <c r="A15" s="1" t="str">
        <f>IF(ROW()-2&lt;=COUNTA(#REF!),ROW()-2,"")</f>
        <v/>
      </c>
      <c r="B15" s="6" t="str">
        <f>IFERROR(VLOOKUP(#REF!,#REF!,2,0),"")</f>
        <v/>
      </c>
      <c r="C15" s="7" t="str">
        <f>IFERROR(VLOOKUP(#REF!,#REF!,2,0),"")</f>
        <v/>
      </c>
      <c r="D15" s="7" t="str">
        <f>IFERROR(VLOOKUP(#REF!,#REF!,6,0),"")</f>
        <v/>
      </c>
      <c r="E15" s="7" t="str">
        <f>IFERROR(VLOOKUP(#REF!,#REF!,7,0),"")</f>
        <v/>
      </c>
      <c r="F15" s="7" t="str">
        <f>IFERROR(VLOOKUP(#REF!,#REF!,2,0),"")</f>
        <v/>
      </c>
      <c r="G15" s="7" t="str">
        <f>IFERROR(VLOOKUP(#REF!,#REF!,1,0),"")</f>
        <v/>
      </c>
      <c r="H15" s="7" t="str">
        <f>IFERROR(VLOOKUP(#REF!,#REF!,5,0),"")</f>
        <v/>
      </c>
      <c r="I15" t="str">
        <f>IFERROR(VLOOKUP(#REF!,#REF!,2,0),"")</f>
        <v/>
      </c>
      <c r="J15" s="8" t="e">
        <f t="shared" si="0"/>
        <v>#REF!</v>
      </c>
      <c r="K15" s="8"/>
      <c r="L15" s="8"/>
    </row>
    <row r="16" spans="1:19" ht="21.75" customHeight="1" x14ac:dyDescent="0.25">
      <c r="A16" s="1" t="str">
        <f>IF(ROW()-2&lt;=COUNTA(#REF!),ROW()-2,"")</f>
        <v/>
      </c>
      <c r="B16" s="6" t="str">
        <f>IFERROR(VLOOKUP(#REF!,#REF!,2,0),"")</f>
        <v/>
      </c>
      <c r="C16" s="7" t="str">
        <f>IFERROR(VLOOKUP(#REF!,#REF!,2,0),"")</f>
        <v/>
      </c>
      <c r="D16" s="7" t="str">
        <f>IFERROR(VLOOKUP(#REF!,#REF!,6,0),"")</f>
        <v/>
      </c>
      <c r="E16" s="7" t="str">
        <f>IFERROR(VLOOKUP(#REF!,#REF!,7,0),"")</f>
        <v/>
      </c>
      <c r="F16" s="7" t="str">
        <f>IFERROR(VLOOKUP(#REF!,#REF!,2,0),"")</f>
        <v/>
      </c>
      <c r="G16" s="7" t="str">
        <f>IFERROR(VLOOKUP(#REF!,#REF!,1,0),"")</f>
        <v/>
      </c>
      <c r="H16" s="7" t="str">
        <f>IFERROR(VLOOKUP(#REF!,#REF!,5,0),"")</f>
        <v/>
      </c>
      <c r="I16" t="str">
        <f>IFERROR(VLOOKUP(#REF!,#REF!,2,0),"")</f>
        <v/>
      </c>
      <c r="J16" s="8" t="e">
        <f t="shared" si="0"/>
        <v>#REF!</v>
      </c>
      <c r="K16" s="8"/>
    </row>
    <row r="17" spans="1:11" ht="21.75" customHeight="1" x14ac:dyDescent="0.25">
      <c r="A17" s="1" t="str">
        <f>IF(ROW()-2&lt;=COUNTA(#REF!),ROW()-2,"")</f>
        <v/>
      </c>
      <c r="B17" s="6" t="str">
        <f>IFERROR(VLOOKUP(#REF!,#REF!,2,0),"")</f>
        <v/>
      </c>
      <c r="C17" s="7" t="str">
        <f>IFERROR(VLOOKUP(#REF!,#REF!,2,0),"")</f>
        <v/>
      </c>
      <c r="D17" s="7" t="str">
        <f>IFERROR(VLOOKUP(#REF!,#REF!,6,0),"")</f>
        <v/>
      </c>
      <c r="E17" s="7" t="str">
        <f>IFERROR(VLOOKUP(#REF!,#REF!,7,0),"")</f>
        <v/>
      </c>
      <c r="F17" s="7" t="str">
        <f>IFERROR(VLOOKUP(#REF!,#REF!,2,0),"")</f>
        <v/>
      </c>
      <c r="G17" s="7" t="str">
        <f>IFERROR(VLOOKUP(#REF!,#REF!,1,0),"")</f>
        <v/>
      </c>
      <c r="H17" s="7" t="str">
        <f>IFERROR(VLOOKUP(#REF!,#REF!,5,0),"")</f>
        <v/>
      </c>
      <c r="I17" t="str">
        <f>IFERROR(VLOOKUP(#REF!,#REF!,2,0),"")</f>
        <v/>
      </c>
      <c r="J17" s="8" t="e">
        <f t="shared" si="0"/>
        <v>#REF!</v>
      </c>
      <c r="K17" s="8"/>
    </row>
    <row r="18" spans="1:11" ht="21.75" customHeight="1" x14ac:dyDescent="0.25">
      <c r="A18" s="1"/>
      <c r="B18" s="6"/>
      <c r="C18" s="7"/>
      <c r="D18" s="7"/>
      <c r="E18" s="7"/>
      <c r="F18" s="7"/>
      <c r="J18" s="8"/>
      <c r="K18" s="8"/>
    </row>
    <row r="19" spans="1:11" ht="21.75" customHeight="1" x14ac:dyDescent="0.25">
      <c r="A19" s="1"/>
      <c r="B19" s="6"/>
      <c r="C19" s="7"/>
      <c r="D19" s="7"/>
      <c r="E19" s="7"/>
      <c r="F19" s="7"/>
      <c r="J19" s="8"/>
    </row>
    <row r="20" spans="1:11" ht="21.75" customHeight="1" x14ac:dyDescent="0.25">
      <c r="A20" s="1"/>
      <c r="B20" s="6"/>
      <c r="C20" s="7"/>
      <c r="D20" s="7"/>
      <c r="E20" s="7"/>
      <c r="F20" s="7"/>
      <c r="J20" s="8"/>
    </row>
    <row r="21" spans="1:11" ht="21.75" customHeight="1" x14ac:dyDescent="0.25">
      <c r="A21" s="1"/>
      <c r="B21" s="6"/>
      <c r="C21" s="7"/>
      <c r="D21" s="7"/>
      <c r="E21" s="7"/>
      <c r="F21" s="7"/>
      <c r="J21" s="8"/>
    </row>
    <row r="22" spans="1:11" ht="21.75" customHeight="1" x14ac:dyDescent="0.25">
      <c r="A22" s="1"/>
      <c r="B22" s="6"/>
      <c r="C22" s="7"/>
      <c r="D22" s="7"/>
      <c r="E22" s="7"/>
      <c r="F22" s="7"/>
    </row>
    <row r="23" spans="1:11" ht="21.75" customHeight="1" x14ac:dyDescent="0.25">
      <c r="A23" s="1"/>
      <c r="B23" s="6"/>
      <c r="C23" s="7"/>
      <c r="D23" s="7"/>
      <c r="E23" s="7"/>
      <c r="F23" s="7"/>
    </row>
    <row r="24" spans="1:11" ht="21.75" customHeight="1" x14ac:dyDescent="0.25">
      <c r="A24" s="1"/>
    </row>
    <row r="25" spans="1:11" ht="21.75" customHeight="1" x14ac:dyDescent="0.25">
      <c r="A25" s="1"/>
    </row>
    <row r="26" spans="1:11" ht="21.75" customHeight="1" x14ac:dyDescent="0.25"/>
    <row r="27" spans="1:11" ht="21.75" customHeight="1" x14ac:dyDescent="0.25"/>
  </sheetData>
  <mergeCells count="1">
    <mergeCell ref="A1:E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0"/>
  <dimension ref="A1:S226"/>
  <sheetViews>
    <sheetView showGridLines="0" zoomScale="55" zoomScaleNormal="55" workbookViewId="0">
      <selection sqref="A1:Q1"/>
    </sheetView>
  </sheetViews>
  <sheetFormatPr defaultRowHeight="15" x14ac:dyDescent="0.25"/>
  <cols>
    <col min="1" max="1" width="4.7109375" customWidth="1"/>
    <col min="2" max="2" width="23.85546875" style="1" customWidth="1"/>
    <col min="3" max="3" width="14.42578125" style="1" customWidth="1"/>
    <col min="4" max="4" width="10.85546875" style="1" customWidth="1"/>
    <col min="5" max="5" width="15.85546875" style="1" customWidth="1"/>
    <col min="6" max="6" width="16.7109375" style="1" customWidth="1"/>
    <col min="7" max="12" width="26.28515625" style="1" customWidth="1"/>
    <col min="13" max="13" width="16.5703125" style="1" customWidth="1"/>
    <col min="14" max="14" width="10.7109375" customWidth="1"/>
    <col min="15" max="15" width="23.5703125" customWidth="1"/>
    <col min="16" max="17" width="20.5703125" customWidth="1"/>
    <col min="18" max="18" width="24.42578125" customWidth="1"/>
    <col min="19" max="19" width="27" customWidth="1"/>
  </cols>
  <sheetData>
    <row r="1" spans="1:19" ht="47.25" customHeight="1" x14ac:dyDescent="0.25">
      <c r="A1" s="106" t="s">
        <v>726</v>
      </c>
      <c r="B1" s="107"/>
      <c r="C1" s="107"/>
      <c r="D1" s="107"/>
      <c r="E1" s="107"/>
      <c r="F1" s="107"/>
      <c r="G1" s="107"/>
      <c r="H1" s="107"/>
      <c r="I1" s="108"/>
      <c r="J1" s="108"/>
      <c r="K1" s="108"/>
      <c r="L1" s="108"/>
      <c r="M1" s="108"/>
      <c r="N1" s="107"/>
      <c r="O1" s="107"/>
      <c r="P1" s="107"/>
      <c r="Q1" s="109"/>
      <c r="R1" s="25"/>
      <c r="S1" s="26"/>
    </row>
    <row r="2" spans="1:19" ht="67.5" customHeight="1" x14ac:dyDescent="0.25">
      <c r="A2" s="138" t="str">
        <f>"Sn. "&amp;'Kişisel Bilgiler'!B1</f>
        <v>Sn. Karatekin Ailesi</v>
      </c>
      <c r="B2" s="104"/>
      <c r="C2" s="104"/>
      <c r="D2" s="104"/>
      <c r="E2" s="104"/>
      <c r="F2" s="104"/>
      <c r="G2" s="104"/>
      <c r="H2" s="104"/>
      <c r="I2" s="72" t="s">
        <v>786</v>
      </c>
      <c r="J2" s="139" t="str">
        <f>B226</f>
        <v xml:space="preserve">Euro 20,2875 %0,09 </v>
      </c>
      <c r="K2" s="104"/>
      <c r="L2" s="104"/>
      <c r="M2" s="140"/>
      <c r="N2" s="103">
        <f ca="1">TODAY()</f>
        <v>45005</v>
      </c>
      <c r="O2" s="104"/>
      <c r="P2" s="104"/>
      <c r="Q2" s="105"/>
      <c r="R2" s="25"/>
      <c r="S2" s="26"/>
    </row>
    <row r="3" spans="1:19" ht="41.25" customHeight="1" thickBot="1" x14ac:dyDescent="0.3">
      <c r="A3" s="87" t="str">
        <f ca="1">DATEDIF('Kişisel Bilgiler'!B2,N2,"Y")&amp;" Yıl "&amp;DATEDIF('Kişisel Bilgiler'!B2,N2,"YM")&amp;"  Ay "&amp;DATEDIF('Kişisel Bilgiler'!B2,N2,"MD")&amp;" Gündür yatırım yapıyorsunuz."</f>
        <v>0 Yıl 11  Ay 19 Gündür yatırım yapıyorsunuz.</v>
      </c>
      <c r="B3" s="88"/>
      <c r="C3" s="88"/>
      <c r="D3" s="88"/>
      <c r="E3" s="88"/>
      <c r="F3" s="88"/>
      <c r="G3" s="88"/>
      <c r="H3" s="88"/>
      <c r="I3" s="92" t="str">
        <f ca="1">"Hedefinize Ulaşmanıza "&amp;DATEDIF(N2,'Kişisel Bilgiler'!B3,"Y")&amp;" Yıl "&amp;DATEDIF(N2,'Kişisel Bilgiler'!B3,"YM")&amp;"  Ay "&amp;DATEDIF(N2,'Kişisel Bilgiler'!B3,"MD")&amp;" Gün kaldı."</f>
        <v>Hedefinize Ulaşmanıza 11 Yıl 9  Ay 12 Gün kaldı.</v>
      </c>
      <c r="J3" s="92"/>
      <c r="K3" s="92"/>
      <c r="L3" s="92"/>
      <c r="M3" s="92"/>
      <c r="N3" s="88"/>
      <c r="O3" s="88"/>
      <c r="P3" s="88"/>
      <c r="Q3" s="93"/>
      <c r="R3" s="25"/>
      <c r="S3" s="26"/>
    </row>
    <row r="4" spans="1:19" ht="71.25" customHeight="1" thickBot="1" x14ac:dyDescent="0.3">
      <c r="A4" s="112" t="s">
        <v>751</v>
      </c>
      <c r="B4" s="113"/>
      <c r="C4" s="113"/>
      <c r="D4" s="113"/>
      <c r="E4" s="113"/>
      <c r="F4" s="116">
        <f>D11+P11</f>
        <v>121457.48473999999</v>
      </c>
      <c r="G4" s="117"/>
      <c r="H4" s="117"/>
      <c r="I4" s="113" t="s">
        <v>780</v>
      </c>
      <c r="J4" s="113"/>
      <c r="K4" s="113"/>
      <c r="L4" s="120" t="e">
        <f>F6/F4</f>
        <v>#VALUE!</v>
      </c>
      <c r="M4" s="120"/>
      <c r="N4" s="94" t="s">
        <v>781</v>
      </c>
      <c r="O4" s="95"/>
      <c r="P4" s="95"/>
      <c r="Q4" s="96"/>
      <c r="R4" s="25"/>
      <c r="S4" s="26"/>
    </row>
    <row r="5" spans="1:19" ht="71.25" customHeight="1" x14ac:dyDescent="0.25">
      <c r="A5" s="112" t="s">
        <v>784</v>
      </c>
      <c r="B5" s="113"/>
      <c r="C5" s="113"/>
      <c r="D5" s="113"/>
      <c r="E5" s="113"/>
      <c r="F5" s="116" t="e">
        <f>D12+P12</f>
        <v>#VALUE!</v>
      </c>
      <c r="G5" s="117"/>
      <c r="H5" s="117"/>
      <c r="I5" s="119"/>
      <c r="J5" s="119"/>
      <c r="K5" s="119"/>
      <c r="L5" s="121"/>
      <c r="M5" s="121"/>
      <c r="N5" s="97"/>
      <c r="O5" s="98"/>
      <c r="P5" s="98"/>
      <c r="Q5" s="99"/>
      <c r="R5" s="25"/>
      <c r="S5" s="26"/>
    </row>
    <row r="6" spans="1:19" ht="61.5" customHeight="1" thickBot="1" x14ac:dyDescent="0.3">
      <c r="A6" s="114" t="s">
        <v>779</v>
      </c>
      <c r="B6" s="115"/>
      <c r="C6" s="115"/>
      <c r="D6" s="115"/>
      <c r="E6" s="115"/>
      <c r="F6" s="118" t="e">
        <f>D13+P13</f>
        <v>#VALUE!</v>
      </c>
      <c r="G6" s="115"/>
      <c r="H6" s="115"/>
      <c r="I6" s="115"/>
      <c r="J6" s="115"/>
      <c r="K6" s="115"/>
      <c r="L6" s="122"/>
      <c r="M6" s="122"/>
      <c r="N6" s="100" t="s">
        <v>785</v>
      </c>
      <c r="O6" s="101"/>
      <c r="P6" s="101"/>
      <c r="Q6" s="102"/>
      <c r="R6" s="25"/>
      <c r="S6" s="26"/>
    </row>
    <row r="7" spans="1:19" ht="25.5" customHeight="1" x14ac:dyDescent="0.25">
      <c r="A7" s="34"/>
      <c r="B7" s="34"/>
      <c r="C7" s="34"/>
      <c r="D7" s="34"/>
      <c r="E7" s="34"/>
      <c r="F7" s="34"/>
      <c r="G7" s="34"/>
      <c r="H7" s="34"/>
      <c r="I7" s="34"/>
      <c r="J7" s="34"/>
      <c r="K7" s="34"/>
      <c r="L7" s="35"/>
      <c r="M7" s="35"/>
      <c r="N7" s="36"/>
      <c r="O7" s="36"/>
      <c r="P7" s="36"/>
      <c r="Q7" s="36"/>
      <c r="R7" s="25"/>
      <c r="S7" s="26"/>
    </row>
    <row r="8" spans="1:19" ht="44.25" customHeight="1" x14ac:dyDescent="0.25">
      <c r="A8" s="89" t="s">
        <v>731</v>
      </c>
      <c r="B8" s="89"/>
      <c r="C8" s="89"/>
      <c r="D8" s="89"/>
      <c r="E8" s="89"/>
      <c r="F8" s="89"/>
      <c r="G8" s="37"/>
      <c r="H8"/>
      <c r="I8"/>
      <c r="J8"/>
      <c r="K8"/>
      <c r="L8" s="37"/>
      <c r="M8" s="127" t="s">
        <v>750</v>
      </c>
      <c r="N8" s="127"/>
      <c r="O8" s="127"/>
      <c r="P8" s="127"/>
      <c r="Q8" s="128"/>
      <c r="S8" s="26"/>
    </row>
    <row r="9" spans="1:19" ht="43.5" customHeight="1" x14ac:dyDescent="0.25">
      <c r="A9" s="90">
        <f>'Hisse Senedi Bilgileri1'!O2</f>
        <v>152855.65000000002</v>
      </c>
      <c r="B9" s="90"/>
      <c r="C9" s="90"/>
      <c r="D9" s="90"/>
      <c r="E9" s="90"/>
      <c r="F9" s="90"/>
      <c r="G9" s="37"/>
      <c r="H9"/>
      <c r="I9"/>
      <c r="J9"/>
      <c r="K9"/>
      <c r="L9" s="37"/>
      <c r="M9" s="129" t="e">
        <f>Altın!U4</f>
        <v>#VALUE!</v>
      </c>
      <c r="N9" s="129"/>
      <c r="O9" s="129"/>
      <c r="P9" s="129"/>
      <c r="Q9" s="130"/>
      <c r="S9" s="26"/>
    </row>
    <row r="10" spans="1:19" ht="12" customHeight="1" x14ac:dyDescent="0.25">
      <c r="A10" s="134"/>
      <c r="B10" s="135"/>
      <c r="C10" s="135"/>
      <c r="D10" s="135"/>
      <c r="E10" s="135"/>
      <c r="F10" s="136"/>
      <c r="G10" s="34"/>
      <c r="H10"/>
      <c r="I10"/>
      <c r="J10"/>
      <c r="K10"/>
      <c r="L10" s="37"/>
      <c r="M10" s="144"/>
      <c r="N10" s="144"/>
      <c r="O10" s="144"/>
      <c r="P10" s="144"/>
      <c r="Q10" s="145"/>
      <c r="S10" s="26"/>
    </row>
    <row r="11" spans="1:19" ht="52.5" customHeight="1" x14ac:dyDescent="0.25">
      <c r="A11" s="137" t="s">
        <v>722</v>
      </c>
      <c r="B11" s="137"/>
      <c r="C11" s="137"/>
      <c r="D11" s="91">
        <f>'Hisse Senedi Bilgileri1'!O4</f>
        <v>121457.48473999999</v>
      </c>
      <c r="E11" s="91"/>
      <c r="F11" s="91"/>
      <c r="G11" s="34"/>
      <c r="H11"/>
      <c r="I11"/>
      <c r="J11"/>
      <c r="K11"/>
      <c r="L11" s="37"/>
      <c r="M11" s="123" t="s">
        <v>722</v>
      </c>
      <c r="N11" s="123"/>
      <c r="O11" s="124"/>
      <c r="P11" s="125">
        <f>Altın!U6</f>
        <v>0</v>
      </c>
      <c r="Q11" s="126"/>
      <c r="S11" s="26"/>
    </row>
    <row r="12" spans="1:19" ht="52.5" customHeight="1" x14ac:dyDescent="0.25">
      <c r="A12" s="137" t="s">
        <v>782</v>
      </c>
      <c r="B12" s="137"/>
      <c r="C12" s="137"/>
      <c r="D12" s="91">
        <f>'Hisse Senedi Bilgileri1'!O2</f>
        <v>152855.65000000002</v>
      </c>
      <c r="E12" s="91"/>
      <c r="F12" s="91"/>
      <c r="G12" s="34"/>
      <c r="H12"/>
      <c r="I12"/>
      <c r="J12"/>
      <c r="K12"/>
      <c r="L12" s="37"/>
      <c r="M12" s="123" t="s">
        <v>783</v>
      </c>
      <c r="N12" s="123"/>
      <c r="O12" s="124"/>
      <c r="P12" s="125" t="e">
        <f>Altın!U4</f>
        <v>#VALUE!</v>
      </c>
      <c r="Q12" s="126"/>
      <c r="S12" s="26"/>
    </row>
    <row r="13" spans="1:19" ht="52.5" customHeight="1" x14ac:dyDescent="0.25">
      <c r="A13" s="137" t="s">
        <v>723</v>
      </c>
      <c r="B13" s="137"/>
      <c r="C13" s="137"/>
      <c r="D13" s="91">
        <f>'Hisse Senedi Bilgileri1'!O6</f>
        <v>31398.165260000038</v>
      </c>
      <c r="E13" s="91"/>
      <c r="F13" s="91"/>
      <c r="G13" s="34"/>
      <c r="H13" s="37"/>
      <c r="I13" s="37"/>
      <c r="J13" s="37"/>
      <c r="K13" s="37"/>
      <c r="L13" s="37"/>
      <c r="M13" s="123" t="s">
        <v>723</v>
      </c>
      <c r="N13" s="123"/>
      <c r="O13" s="124"/>
      <c r="P13" s="125" t="e">
        <f>Altın!U8</f>
        <v>#VALUE!</v>
      </c>
      <c r="Q13" s="126"/>
      <c r="S13" s="26"/>
    </row>
    <row r="14" spans="1:19" ht="52.5" customHeight="1" x14ac:dyDescent="0.25">
      <c r="A14" s="137" t="s">
        <v>724</v>
      </c>
      <c r="B14" s="137"/>
      <c r="C14" s="137"/>
      <c r="D14" s="110">
        <f>'Hisse Senedi Bilgileri1'!O10</f>
        <v>4052</v>
      </c>
      <c r="E14" s="111"/>
      <c r="F14" s="111"/>
      <c r="G14" s="34"/>
      <c r="H14" s="37"/>
      <c r="I14" s="37"/>
      <c r="J14" s="37"/>
      <c r="K14" s="37"/>
      <c r="L14" s="37"/>
      <c r="M14" s="123" t="s">
        <v>753</v>
      </c>
      <c r="N14" s="123"/>
      <c r="O14" s="124"/>
      <c r="P14" s="146">
        <f>Altın!F4</f>
        <v>0</v>
      </c>
      <c r="Q14" s="147"/>
      <c r="S14" s="26"/>
    </row>
    <row r="15" spans="1:19" ht="52.5" customHeight="1" x14ac:dyDescent="0.25">
      <c r="A15" s="137" t="s">
        <v>749</v>
      </c>
      <c r="B15" s="137"/>
      <c r="C15" s="137"/>
      <c r="D15" s="91">
        <f>'Hisse Senedi Bilgileri1'!O12</f>
        <v>1846</v>
      </c>
      <c r="E15" s="91"/>
      <c r="F15" s="91"/>
      <c r="G15" s="34"/>
      <c r="H15" s="37"/>
      <c r="I15" s="37"/>
      <c r="J15" s="37"/>
      <c r="K15" s="37"/>
      <c r="L15" s="37"/>
      <c r="M15" s="123" t="s">
        <v>758</v>
      </c>
      <c r="N15" s="123"/>
      <c r="O15" s="124"/>
      <c r="P15" s="146">
        <f>Altın!F6</f>
        <v>0</v>
      </c>
      <c r="Q15" s="147"/>
      <c r="S15" s="26"/>
    </row>
    <row r="16" spans="1:19" ht="52.5" customHeight="1" x14ac:dyDescent="0.25">
      <c r="A16" s="137" t="s">
        <v>725</v>
      </c>
      <c r="B16" s="137"/>
      <c r="C16" s="137"/>
      <c r="D16" s="133">
        <f>'Hisse Senedi Bilgileri1'!O14</f>
        <v>1.2585115715776023</v>
      </c>
      <c r="E16" s="111"/>
      <c r="F16" s="111"/>
      <c r="G16" s="34"/>
      <c r="H16" s="34"/>
      <c r="I16" s="34"/>
      <c r="J16" s="34"/>
      <c r="K16" s="34"/>
      <c r="L16" s="35"/>
      <c r="M16" s="123" t="s">
        <v>754</v>
      </c>
      <c r="N16" s="123"/>
      <c r="O16" s="124"/>
      <c r="P16" s="131" t="e">
        <f>Altın!N8</f>
        <v>#VALUE!</v>
      </c>
      <c r="Q16" s="132"/>
      <c r="R16" s="25"/>
      <c r="S16" s="26"/>
    </row>
    <row r="17" spans="1:19" ht="36" customHeight="1" x14ac:dyDescent="0.25">
      <c r="A17" s="29"/>
      <c r="B17" s="38"/>
      <c r="C17" s="38"/>
      <c r="D17" s="34"/>
      <c r="E17" s="34"/>
      <c r="F17" s="34"/>
      <c r="G17" s="34"/>
      <c r="H17" s="141"/>
      <c r="I17" s="141"/>
      <c r="J17" s="141"/>
      <c r="K17" s="30"/>
      <c r="L17" s="31"/>
      <c r="M17" s="35"/>
      <c r="N17" s="36"/>
      <c r="O17" s="36"/>
      <c r="P17" s="36"/>
      <c r="Q17" s="36"/>
      <c r="R17" s="25"/>
      <c r="S17" s="26"/>
    </row>
    <row r="18" spans="1:19" ht="36.75" customHeight="1" x14ac:dyDescent="0.25">
      <c r="B18"/>
      <c r="C18"/>
      <c r="D18"/>
      <c r="E18"/>
      <c r="F18"/>
      <c r="G18"/>
      <c r="H18" s="142"/>
      <c r="I18" s="142"/>
      <c r="J18" s="142"/>
      <c r="K18" s="32"/>
      <c r="L18" s="33"/>
      <c r="M18" s="39"/>
      <c r="N18" s="39"/>
      <c r="O18" s="39"/>
      <c r="P18" s="39"/>
      <c r="Q18" s="39"/>
    </row>
    <row r="19" spans="1:19" ht="20.25" customHeight="1" x14ac:dyDescent="0.25">
      <c r="B19"/>
      <c r="C19"/>
      <c r="D19"/>
      <c r="E19"/>
      <c r="F19"/>
      <c r="G19"/>
      <c r="H19" s="143"/>
      <c r="I19" s="143"/>
      <c r="J19" s="142"/>
      <c r="K19" s="32"/>
      <c r="L19" s="33"/>
      <c r="M19"/>
    </row>
    <row r="20" spans="1:19" ht="20.25" customHeight="1" x14ac:dyDescent="0.25">
      <c r="B20"/>
      <c r="C20"/>
      <c r="D20"/>
      <c r="E20"/>
      <c r="F20"/>
      <c r="G20"/>
      <c r="H20" s="143"/>
      <c r="I20" s="143"/>
      <c r="J20" s="142"/>
      <c r="K20" s="32"/>
      <c r="L20" s="33"/>
      <c r="M20"/>
    </row>
    <row r="21" spans="1:19" ht="20.25" customHeight="1" x14ac:dyDescent="0.25">
      <c r="B21"/>
      <c r="C21"/>
      <c r="D21"/>
      <c r="E21"/>
      <c r="F21"/>
      <c r="G21"/>
      <c r="H21" s="33"/>
      <c r="I21" s="33"/>
      <c r="J21" s="33"/>
      <c r="K21" s="33"/>
      <c r="L21" s="33"/>
      <c r="M21"/>
    </row>
    <row r="22" spans="1:19" ht="20.25" customHeight="1" x14ac:dyDescent="0.25">
      <c r="B22"/>
      <c r="C22"/>
      <c r="D22"/>
      <c r="E22"/>
      <c r="F22"/>
      <c r="G22"/>
      <c r="H22" s="33"/>
      <c r="I22" s="33"/>
      <c r="J22" s="33"/>
      <c r="K22" s="33"/>
      <c r="L22" s="33"/>
      <c r="M22"/>
    </row>
    <row r="23" spans="1:19" ht="20.25" customHeight="1" x14ac:dyDescent="0.25">
      <c r="B23"/>
      <c r="C23"/>
      <c r="D23"/>
      <c r="E23"/>
      <c r="F23"/>
      <c r="G23"/>
      <c r="H23"/>
      <c r="I23"/>
      <c r="J23"/>
      <c r="K23"/>
      <c r="L23"/>
      <c r="M23"/>
    </row>
    <row r="24" spans="1:19" ht="20.25" customHeight="1" x14ac:dyDescent="0.25">
      <c r="B24"/>
      <c r="C24"/>
      <c r="D24"/>
      <c r="E24"/>
      <c r="F24"/>
      <c r="G24"/>
      <c r="H24"/>
      <c r="I24"/>
      <c r="J24"/>
      <c r="K24"/>
      <c r="L24"/>
      <c r="M24"/>
    </row>
    <row r="25" spans="1:19" ht="20.25" customHeight="1" x14ac:dyDescent="0.25">
      <c r="B25"/>
      <c r="C25"/>
      <c r="D25"/>
      <c r="E25"/>
      <c r="F25"/>
      <c r="G25"/>
      <c r="H25"/>
      <c r="I25"/>
      <c r="J25"/>
      <c r="K25"/>
      <c r="L25"/>
      <c r="M25"/>
    </row>
    <row r="26" spans="1:19" ht="20.25" customHeight="1" x14ac:dyDescent="0.25">
      <c r="B26"/>
      <c r="C26"/>
      <c r="D26"/>
      <c r="E26"/>
      <c r="F26"/>
      <c r="G26"/>
      <c r="H26"/>
      <c r="I26"/>
      <c r="J26"/>
      <c r="K26"/>
      <c r="L26"/>
      <c r="M26"/>
    </row>
    <row r="27" spans="1:19" ht="20.25" customHeight="1" x14ac:dyDescent="0.25">
      <c r="B27"/>
      <c r="C27"/>
      <c r="D27"/>
      <c r="E27"/>
      <c r="F27"/>
      <c r="G27"/>
      <c r="H27"/>
      <c r="I27"/>
      <c r="J27"/>
      <c r="K27"/>
      <c r="L27"/>
      <c r="M27"/>
    </row>
    <row r="28" spans="1:19" ht="20.25" customHeight="1" x14ac:dyDescent="0.25">
      <c r="B28"/>
      <c r="C28"/>
      <c r="D28"/>
      <c r="E28"/>
      <c r="F28"/>
      <c r="G28"/>
      <c r="H28"/>
      <c r="I28"/>
      <c r="J28"/>
      <c r="K28"/>
      <c r="L28"/>
      <c r="M28"/>
    </row>
    <row r="29" spans="1:19" ht="20.25" customHeight="1" x14ac:dyDescent="0.25">
      <c r="B29"/>
      <c r="C29"/>
      <c r="D29"/>
      <c r="E29"/>
      <c r="F29"/>
      <c r="G29"/>
      <c r="H29"/>
      <c r="I29"/>
      <c r="J29"/>
      <c r="K29"/>
      <c r="L29"/>
      <c r="M29"/>
    </row>
    <row r="30" spans="1:19" ht="20.25" customHeight="1" x14ac:dyDescent="0.25">
      <c r="B30"/>
      <c r="C30"/>
      <c r="D30"/>
      <c r="E30"/>
      <c r="F30"/>
      <c r="G30"/>
      <c r="H30"/>
      <c r="I30"/>
      <c r="J30"/>
      <c r="K30"/>
      <c r="L30"/>
      <c r="M30"/>
    </row>
    <row r="31" spans="1:19" ht="20.25" customHeight="1" x14ac:dyDescent="0.25">
      <c r="B31"/>
      <c r="C31"/>
      <c r="D31"/>
      <c r="E31"/>
      <c r="F31"/>
      <c r="G31"/>
      <c r="H31"/>
      <c r="I31"/>
      <c r="J31"/>
      <c r="K31"/>
      <c r="L31"/>
      <c r="M31"/>
    </row>
    <row r="32" spans="1:19" ht="20.25" customHeight="1" x14ac:dyDescent="0.25">
      <c r="B32"/>
      <c r="C32"/>
      <c r="D32"/>
      <c r="E32"/>
      <c r="F32"/>
      <c r="G32"/>
      <c r="H32"/>
      <c r="I32"/>
      <c r="J32"/>
      <c r="K32"/>
      <c r="L32"/>
      <c r="M32"/>
    </row>
    <row r="33" spans="2:13" ht="20.25" customHeight="1" x14ac:dyDescent="0.25">
      <c r="B33"/>
      <c r="C33"/>
      <c r="D33"/>
      <c r="E33"/>
      <c r="F33"/>
      <c r="G33"/>
      <c r="H33"/>
      <c r="I33"/>
      <c r="J33"/>
      <c r="K33"/>
      <c r="L33"/>
      <c r="M33"/>
    </row>
    <row r="34" spans="2:13" ht="20.25" customHeight="1" x14ac:dyDescent="0.25">
      <c r="B34"/>
      <c r="C34"/>
      <c r="D34"/>
      <c r="E34"/>
      <c r="F34"/>
      <c r="G34"/>
      <c r="H34"/>
      <c r="I34"/>
      <c r="J34"/>
      <c r="K34"/>
      <c r="L34"/>
      <c r="M34"/>
    </row>
    <row r="35" spans="2:13" ht="20.25" customHeight="1" x14ac:dyDescent="0.25">
      <c r="B35"/>
      <c r="C35"/>
      <c r="D35"/>
      <c r="E35"/>
      <c r="F35"/>
      <c r="G35"/>
      <c r="H35"/>
      <c r="I35"/>
      <c r="J35"/>
      <c r="K35"/>
      <c r="L35"/>
      <c r="M35"/>
    </row>
    <row r="36" spans="2:13" ht="20.25" customHeight="1" x14ac:dyDescent="0.25">
      <c r="B36"/>
      <c r="C36"/>
      <c r="D36"/>
      <c r="E36"/>
      <c r="F36"/>
      <c r="G36"/>
      <c r="H36"/>
      <c r="I36"/>
      <c r="J36"/>
      <c r="K36"/>
      <c r="L36"/>
      <c r="M36"/>
    </row>
    <row r="37" spans="2:13" ht="20.25" customHeight="1" x14ac:dyDescent="0.25">
      <c r="B37"/>
      <c r="C37"/>
      <c r="D37"/>
      <c r="E37"/>
      <c r="F37"/>
      <c r="G37"/>
      <c r="H37"/>
      <c r="I37"/>
      <c r="J37"/>
      <c r="K37"/>
      <c r="L37"/>
      <c r="M37"/>
    </row>
    <row r="38" spans="2:13" ht="20.25" customHeight="1" x14ac:dyDescent="0.25">
      <c r="B38"/>
      <c r="C38"/>
      <c r="D38"/>
      <c r="E38"/>
      <c r="F38"/>
      <c r="G38"/>
      <c r="H38"/>
      <c r="I38"/>
      <c r="J38"/>
      <c r="K38"/>
      <c r="L38"/>
      <c r="M38"/>
    </row>
    <row r="39" spans="2:13" ht="20.25" customHeight="1" x14ac:dyDescent="0.25">
      <c r="B39"/>
      <c r="C39"/>
      <c r="D39"/>
      <c r="E39"/>
      <c r="F39"/>
      <c r="G39"/>
      <c r="H39"/>
      <c r="I39"/>
      <c r="J39"/>
      <c r="K39"/>
      <c r="L39"/>
      <c r="M39"/>
    </row>
    <row r="40" spans="2:13" ht="20.25" customHeight="1" x14ac:dyDescent="0.25">
      <c r="B40"/>
      <c r="C40"/>
      <c r="D40"/>
      <c r="E40"/>
      <c r="F40"/>
      <c r="G40"/>
      <c r="H40"/>
      <c r="I40"/>
      <c r="J40"/>
      <c r="K40"/>
      <c r="L40"/>
      <c r="M40"/>
    </row>
    <row r="41" spans="2:13" ht="20.25" customHeight="1" x14ac:dyDescent="0.25">
      <c r="B41"/>
      <c r="C41"/>
      <c r="D41"/>
      <c r="E41"/>
      <c r="F41"/>
      <c r="G41"/>
      <c r="H41"/>
      <c r="I41"/>
      <c r="J41"/>
      <c r="K41"/>
      <c r="L41"/>
      <c r="M41"/>
    </row>
    <row r="42" spans="2:13" ht="20.25" customHeight="1" x14ac:dyDescent="0.25">
      <c r="B42"/>
      <c r="C42"/>
      <c r="D42"/>
      <c r="E42"/>
      <c r="F42"/>
      <c r="G42"/>
      <c r="H42"/>
      <c r="I42"/>
      <c r="J42"/>
      <c r="K42"/>
      <c r="L42"/>
      <c r="M42"/>
    </row>
    <row r="43" spans="2:13" ht="20.25" customHeight="1" x14ac:dyDescent="0.25">
      <c r="B43"/>
      <c r="C43"/>
      <c r="D43"/>
      <c r="E43"/>
      <c r="F43"/>
      <c r="G43"/>
      <c r="H43"/>
      <c r="I43"/>
      <c r="J43"/>
      <c r="K43"/>
      <c r="L43"/>
      <c r="M43"/>
    </row>
    <row r="44" spans="2:13" ht="20.25" customHeight="1" x14ac:dyDescent="0.25">
      <c r="B44"/>
      <c r="C44"/>
      <c r="D44"/>
      <c r="E44"/>
      <c r="F44"/>
      <c r="G44"/>
      <c r="H44"/>
      <c r="I44"/>
      <c r="J44"/>
      <c r="K44"/>
      <c r="L44"/>
      <c r="M44"/>
    </row>
    <row r="45" spans="2:13" ht="20.25" customHeight="1" x14ac:dyDescent="0.25">
      <c r="B45"/>
      <c r="C45"/>
      <c r="D45"/>
      <c r="E45"/>
      <c r="F45"/>
      <c r="G45"/>
      <c r="H45"/>
      <c r="I45"/>
      <c r="J45"/>
      <c r="K45"/>
      <c r="L45"/>
      <c r="M45"/>
    </row>
    <row r="46" spans="2:13" ht="20.25" customHeight="1" x14ac:dyDescent="0.25">
      <c r="B46"/>
      <c r="C46"/>
      <c r="D46"/>
      <c r="E46"/>
      <c r="F46"/>
      <c r="G46"/>
      <c r="H46"/>
      <c r="I46"/>
      <c r="J46"/>
      <c r="K46"/>
      <c r="L46"/>
      <c r="M46"/>
    </row>
    <row r="47" spans="2:13" ht="20.25" customHeight="1" x14ac:dyDescent="0.25">
      <c r="B47"/>
      <c r="C47"/>
      <c r="D47"/>
      <c r="E47"/>
      <c r="F47"/>
      <c r="G47"/>
      <c r="H47"/>
      <c r="I47"/>
      <c r="J47"/>
      <c r="K47"/>
      <c r="L47"/>
      <c r="M47"/>
    </row>
    <row r="48" spans="2:13" ht="20.25" customHeight="1" x14ac:dyDescent="0.25">
      <c r="B48"/>
      <c r="C48"/>
      <c r="D48"/>
      <c r="E48"/>
      <c r="F48"/>
      <c r="G48"/>
      <c r="H48"/>
      <c r="I48"/>
      <c r="J48"/>
      <c r="K48"/>
      <c r="L48"/>
      <c r="M48"/>
    </row>
    <row r="49" spans="2:13" ht="20.25" customHeight="1" x14ac:dyDescent="0.25">
      <c r="B49"/>
      <c r="C49"/>
      <c r="D49"/>
      <c r="E49"/>
      <c r="F49"/>
      <c r="G49"/>
      <c r="H49"/>
      <c r="I49"/>
      <c r="J49"/>
      <c r="K49"/>
      <c r="L49"/>
      <c r="M49"/>
    </row>
    <row r="50" spans="2:13" ht="20.25" customHeight="1" x14ac:dyDescent="0.25">
      <c r="B50"/>
      <c r="C50"/>
      <c r="D50"/>
      <c r="E50"/>
      <c r="F50"/>
      <c r="G50"/>
      <c r="H50"/>
      <c r="I50"/>
      <c r="J50"/>
      <c r="K50"/>
      <c r="L50"/>
      <c r="M50"/>
    </row>
    <row r="51" spans="2:13" ht="20.25" customHeight="1" x14ac:dyDescent="0.25">
      <c r="B51"/>
      <c r="C51"/>
      <c r="D51"/>
      <c r="E51"/>
      <c r="F51"/>
      <c r="G51"/>
      <c r="H51"/>
      <c r="I51"/>
      <c r="J51"/>
      <c r="K51"/>
      <c r="L51"/>
      <c r="M51"/>
    </row>
    <row r="52" spans="2:13" ht="20.25" customHeight="1" x14ac:dyDescent="0.25">
      <c r="B52"/>
      <c r="C52"/>
      <c r="D52"/>
      <c r="E52"/>
      <c r="F52"/>
      <c r="G52"/>
      <c r="H52"/>
      <c r="I52"/>
      <c r="J52"/>
      <c r="K52"/>
      <c r="L52"/>
      <c r="M52"/>
    </row>
    <row r="53" spans="2:13" ht="20.25" customHeight="1" x14ac:dyDescent="0.25">
      <c r="B53"/>
      <c r="C53"/>
      <c r="D53"/>
      <c r="E53"/>
      <c r="F53"/>
      <c r="G53"/>
      <c r="H53"/>
      <c r="I53"/>
      <c r="J53"/>
      <c r="K53"/>
      <c r="L53"/>
      <c r="M53"/>
    </row>
    <row r="54" spans="2:13" ht="20.25" customHeight="1" x14ac:dyDescent="0.25">
      <c r="B54"/>
      <c r="C54"/>
      <c r="D54"/>
      <c r="E54"/>
      <c r="F54"/>
      <c r="G54"/>
      <c r="H54"/>
      <c r="I54"/>
      <c r="J54"/>
      <c r="K54"/>
      <c r="L54"/>
      <c r="M54"/>
    </row>
    <row r="55" spans="2:13" ht="20.25" customHeight="1" x14ac:dyDescent="0.25">
      <c r="B55"/>
      <c r="C55"/>
      <c r="D55"/>
      <c r="E55"/>
      <c r="F55"/>
      <c r="G55"/>
      <c r="H55"/>
      <c r="I55"/>
      <c r="J55"/>
      <c r="K55"/>
      <c r="L55"/>
      <c r="M55"/>
    </row>
    <row r="56" spans="2:13" ht="20.25" customHeight="1" x14ac:dyDescent="0.25">
      <c r="B56"/>
      <c r="C56"/>
      <c r="D56"/>
      <c r="E56"/>
      <c r="F56"/>
      <c r="G56"/>
      <c r="H56"/>
      <c r="I56"/>
      <c r="J56"/>
      <c r="K56"/>
      <c r="L56"/>
      <c r="M56"/>
    </row>
    <row r="57" spans="2:13" ht="20.25" customHeight="1" x14ac:dyDescent="0.25">
      <c r="B57"/>
      <c r="C57"/>
      <c r="D57"/>
      <c r="E57"/>
      <c r="F57"/>
      <c r="G57"/>
      <c r="H57"/>
      <c r="I57"/>
      <c r="J57"/>
      <c r="K57"/>
      <c r="L57"/>
      <c r="M57"/>
    </row>
    <row r="58" spans="2:13" ht="20.25" customHeight="1" x14ac:dyDescent="0.25">
      <c r="B58"/>
      <c r="C58"/>
      <c r="D58"/>
      <c r="E58"/>
      <c r="F58"/>
      <c r="G58"/>
      <c r="H58"/>
      <c r="I58"/>
      <c r="J58"/>
      <c r="K58"/>
      <c r="L58"/>
      <c r="M58"/>
    </row>
    <row r="59" spans="2:13" ht="20.25" customHeight="1" x14ac:dyDescent="0.25">
      <c r="B59"/>
      <c r="C59"/>
      <c r="D59"/>
      <c r="E59"/>
      <c r="F59"/>
      <c r="G59"/>
      <c r="H59"/>
      <c r="I59"/>
      <c r="J59"/>
      <c r="K59"/>
      <c r="L59"/>
      <c r="M59"/>
    </row>
    <row r="60" spans="2:13" ht="20.25" customHeight="1" x14ac:dyDescent="0.25">
      <c r="B60"/>
      <c r="C60"/>
      <c r="D60"/>
      <c r="E60"/>
      <c r="F60"/>
      <c r="G60"/>
      <c r="H60"/>
      <c r="I60"/>
      <c r="J60"/>
      <c r="K60"/>
      <c r="L60"/>
      <c r="M60"/>
    </row>
    <row r="61" spans="2:13" ht="20.25" customHeight="1" x14ac:dyDescent="0.25">
      <c r="B61"/>
      <c r="C61"/>
      <c r="D61"/>
      <c r="E61"/>
      <c r="F61"/>
      <c r="G61"/>
      <c r="H61"/>
      <c r="I61"/>
      <c r="J61"/>
      <c r="K61"/>
      <c r="L61"/>
      <c r="M61"/>
    </row>
    <row r="62" spans="2:13" ht="20.25" customHeight="1" x14ac:dyDescent="0.25">
      <c r="B62"/>
      <c r="C62"/>
      <c r="D62"/>
      <c r="E62"/>
      <c r="F62"/>
      <c r="G62"/>
      <c r="H62"/>
      <c r="I62"/>
      <c r="J62"/>
      <c r="K62"/>
      <c r="L62"/>
      <c r="M62"/>
    </row>
    <row r="63" spans="2:13" ht="20.25" customHeight="1" x14ac:dyDescent="0.25">
      <c r="B63"/>
      <c r="C63"/>
      <c r="D63"/>
      <c r="E63"/>
      <c r="F63"/>
      <c r="G63"/>
      <c r="H63"/>
      <c r="I63"/>
      <c r="J63"/>
      <c r="K63"/>
      <c r="L63"/>
      <c r="M63"/>
    </row>
    <row r="64" spans="2:13" ht="20.25" customHeight="1" x14ac:dyDescent="0.25">
      <c r="B64"/>
      <c r="C64"/>
      <c r="D64"/>
      <c r="E64"/>
      <c r="F64"/>
      <c r="G64"/>
      <c r="H64"/>
      <c r="I64"/>
      <c r="J64"/>
      <c r="K64"/>
      <c r="L64"/>
      <c r="M64"/>
    </row>
    <row r="65" spans="2:13" ht="20.25" customHeight="1" x14ac:dyDescent="0.25">
      <c r="B65"/>
      <c r="C65"/>
      <c r="D65"/>
      <c r="E65"/>
      <c r="F65"/>
      <c r="G65"/>
      <c r="H65"/>
      <c r="I65"/>
      <c r="J65"/>
      <c r="K65"/>
      <c r="L65"/>
      <c r="M65"/>
    </row>
    <row r="66" spans="2:13" ht="20.25" customHeight="1" x14ac:dyDescent="0.25">
      <c r="B66"/>
      <c r="C66"/>
      <c r="D66"/>
      <c r="E66"/>
      <c r="F66"/>
      <c r="G66"/>
      <c r="H66"/>
      <c r="I66"/>
      <c r="J66"/>
      <c r="K66"/>
      <c r="L66"/>
      <c r="M66"/>
    </row>
    <row r="67" spans="2:13" ht="20.25" customHeight="1" x14ac:dyDescent="0.25">
      <c r="B67"/>
      <c r="C67"/>
      <c r="D67"/>
      <c r="E67"/>
      <c r="F67"/>
      <c r="G67"/>
      <c r="H67"/>
      <c r="I67"/>
      <c r="J67"/>
      <c r="K67"/>
      <c r="L67"/>
      <c r="M67"/>
    </row>
    <row r="68" spans="2:13" ht="20.25" customHeight="1" x14ac:dyDescent="0.25">
      <c r="B68"/>
      <c r="C68"/>
      <c r="D68"/>
      <c r="E68"/>
      <c r="F68"/>
      <c r="G68"/>
      <c r="H68"/>
      <c r="I68"/>
      <c r="J68"/>
      <c r="K68"/>
      <c r="L68"/>
      <c r="M68"/>
    </row>
    <row r="69" spans="2:13" ht="20.25" customHeight="1" x14ac:dyDescent="0.25">
      <c r="B69"/>
      <c r="C69"/>
      <c r="D69"/>
      <c r="E69"/>
      <c r="F69"/>
      <c r="G69"/>
      <c r="H69"/>
      <c r="I69"/>
      <c r="J69"/>
      <c r="K69"/>
      <c r="L69"/>
      <c r="M69"/>
    </row>
    <row r="70" spans="2:13" ht="20.25" customHeight="1" x14ac:dyDescent="0.25">
      <c r="B70"/>
      <c r="C70"/>
      <c r="D70"/>
      <c r="E70"/>
      <c r="F70"/>
      <c r="G70"/>
      <c r="H70"/>
      <c r="I70"/>
      <c r="J70"/>
      <c r="K70"/>
      <c r="L70"/>
      <c r="M70"/>
    </row>
    <row r="71" spans="2:13" ht="20.25" customHeight="1" x14ac:dyDescent="0.25">
      <c r="B71"/>
      <c r="C71"/>
      <c r="D71"/>
      <c r="E71"/>
      <c r="F71"/>
      <c r="G71"/>
      <c r="H71"/>
      <c r="I71"/>
      <c r="J71"/>
      <c r="K71"/>
      <c r="L71"/>
      <c r="M71"/>
    </row>
    <row r="72" spans="2:13" ht="20.25" customHeight="1" x14ac:dyDescent="0.25">
      <c r="B72"/>
      <c r="C72"/>
      <c r="D72"/>
      <c r="E72"/>
      <c r="F72"/>
      <c r="G72"/>
      <c r="H72"/>
      <c r="I72"/>
      <c r="J72"/>
      <c r="K72"/>
      <c r="L72"/>
      <c r="M72"/>
    </row>
    <row r="73" spans="2:13" ht="20.25" customHeight="1" x14ac:dyDescent="0.25">
      <c r="B73"/>
      <c r="C73"/>
      <c r="D73"/>
      <c r="E73"/>
      <c r="F73"/>
      <c r="G73"/>
      <c r="H73"/>
      <c r="I73"/>
      <c r="J73"/>
      <c r="K73"/>
      <c r="L73"/>
      <c r="M73"/>
    </row>
    <row r="74" spans="2:13" ht="20.25" customHeight="1" x14ac:dyDescent="0.25">
      <c r="B74"/>
      <c r="C74"/>
      <c r="D74"/>
      <c r="E74"/>
      <c r="F74"/>
      <c r="G74"/>
      <c r="H74"/>
      <c r="I74"/>
      <c r="J74"/>
      <c r="K74"/>
      <c r="L74"/>
      <c r="M74"/>
    </row>
    <row r="75" spans="2:13" ht="20.25" customHeight="1" x14ac:dyDescent="0.25">
      <c r="B75"/>
      <c r="C75"/>
      <c r="D75"/>
      <c r="E75"/>
      <c r="F75"/>
      <c r="G75"/>
      <c r="H75"/>
      <c r="I75"/>
      <c r="J75"/>
      <c r="K75"/>
      <c r="L75"/>
      <c r="M75"/>
    </row>
    <row r="76" spans="2:13" x14ac:dyDescent="0.25">
      <c r="B76"/>
      <c r="C76"/>
      <c r="D76"/>
      <c r="E76"/>
      <c r="F76"/>
      <c r="G76"/>
      <c r="H76"/>
      <c r="I76"/>
      <c r="J76"/>
      <c r="K76"/>
      <c r="L76"/>
      <c r="M76"/>
    </row>
    <row r="77" spans="2:13" x14ac:dyDescent="0.25">
      <c r="B77"/>
      <c r="C77"/>
      <c r="D77"/>
      <c r="E77"/>
      <c r="F77"/>
      <c r="G77"/>
      <c r="H77"/>
      <c r="I77"/>
      <c r="J77"/>
      <c r="K77"/>
      <c r="L77"/>
      <c r="M77"/>
    </row>
    <row r="78" spans="2:13" x14ac:dyDescent="0.25">
      <c r="B78"/>
      <c r="C78"/>
      <c r="D78"/>
      <c r="E78"/>
      <c r="F78"/>
      <c r="G78"/>
      <c r="H78"/>
      <c r="I78"/>
      <c r="J78"/>
      <c r="K78"/>
      <c r="L78"/>
      <c r="M78"/>
    </row>
    <row r="79" spans="2:13" x14ac:dyDescent="0.25">
      <c r="B79"/>
      <c r="C79"/>
      <c r="D79"/>
      <c r="E79"/>
      <c r="F79"/>
      <c r="G79"/>
      <c r="H79"/>
      <c r="I79"/>
      <c r="J79"/>
      <c r="K79"/>
      <c r="L79"/>
      <c r="M79"/>
    </row>
    <row r="80" spans="2: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c r="I93"/>
      <c r="J93"/>
      <c r="K93"/>
      <c r="L93"/>
      <c r="M93"/>
    </row>
    <row r="94" spans="2:13" x14ac:dyDescent="0.25">
      <c r="B94"/>
      <c r="C94"/>
      <c r="D94"/>
      <c r="E94"/>
      <c r="F94"/>
      <c r="G94"/>
      <c r="H94"/>
      <c r="I94"/>
      <c r="J94"/>
      <c r="K94"/>
      <c r="L94"/>
      <c r="M94"/>
    </row>
    <row r="95" spans="2:13" x14ac:dyDescent="0.25">
      <c r="B95"/>
      <c r="C95"/>
      <c r="D95"/>
      <c r="E95"/>
      <c r="F95"/>
      <c r="G95"/>
      <c r="H95"/>
      <c r="I95"/>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c r="K103"/>
      <c r="L103"/>
      <c r="M103"/>
    </row>
    <row r="104" spans="2:13" x14ac:dyDescent="0.25">
      <c r="B104"/>
      <c r="C104"/>
      <c r="D104"/>
      <c r="E104"/>
      <c r="F104"/>
      <c r="G104"/>
      <c r="H104"/>
      <c r="I104"/>
      <c r="J104"/>
      <c r="K104"/>
      <c r="L104"/>
      <c r="M104"/>
    </row>
    <row r="105" spans="2:13" x14ac:dyDescent="0.25">
      <c r="B105"/>
      <c r="C105"/>
      <c r="D105"/>
      <c r="E105"/>
      <c r="F105"/>
      <c r="G105"/>
      <c r="H105"/>
      <c r="I105"/>
      <c r="J105"/>
      <c r="K105"/>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c r="G112"/>
      <c r="H112"/>
      <c r="I112"/>
      <c r="J112"/>
      <c r="K112"/>
      <c r="L112"/>
      <c r="M112"/>
    </row>
    <row r="113" spans="2:13" x14ac:dyDescent="0.25">
      <c r="B113"/>
      <c r="C113"/>
      <c r="D113"/>
      <c r="E113"/>
      <c r="F113"/>
      <c r="G113"/>
      <c r="H113"/>
      <c r="I113"/>
      <c r="J113"/>
      <c r="K113"/>
      <c r="L113"/>
      <c r="M113"/>
    </row>
    <row r="114" spans="2:13" x14ac:dyDescent="0.25">
      <c r="B114"/>
      <c r="C114"/>
      <c r="D114"/>
      <c r="E114"/>
      <c r="F114"/>
      <c r="G114"/>
      <c r="H114"/>
      <c r="I114"/>
      <c r="J114"/>
      <c r="K114"/>
      <c r="L114"/>
      <c r="M114"/>
    </row>
    <row r="115" spans="2:13" x14ac:dyDescent="0.25">
      <c r="B115"/>
      <c r="C115"/>
      <c r="D115"/>
      <c r="E115"/>
      <c r="F115"/>
      <c r="G115"/>
      <c r="H115"/>
      <c r="I115"/>
      <c r="J115"/>
      <c r="K115"/>
      <c r="L115"/>
      <c r="M115"/>
    </row>
    <row r="116" spans="2:13" x14ac:dyDescent="0.25">
      <c r="B116"/>
      <c r="C116"/>
      <c r="D116"/>
      <c r="E116"/>
      <c r="F116"/>
      <c r="G116"/>
      <c r="H116"/>
      <c r="I116"/>
      <c r="J116"/>
      <c r="K116"/>
      <c r="L116"/>
      <c r="M116"/>
    </row>
    <row r="117" spans="2:13" x14ac:dyDescent="0.25">
      <c r="B117"/>
      <c r="C117"/>
      <c r="D117"/>
      <c r="E117"/>
      <c r="F117"/>
      <c r="G117"/>
      <c r="H117"/>
      <c r="I117"/>
      <c r="J117"/>
      <c r="K117"/>
      <c r="L117"/>
      <c r="M117"/>
    </row>
    <row r="118" spans="2:13" x14ac:dyDescent="0.25">
      <c r="B118"/>
      <c r="C118"/>
      <c r="D118"/>
      <c r="E118"/>
      <c r="F118"/>
      <c r="G118"/>
      <c r="H118"/>
      <c r="I118"/>
      <c r="J118"/>
      <c r="K118"/>
      <c r="L118"/>
      <c r="M118"/>
    </row>
    <row r="119" spans="2:13" x14ac:dyDescent="0.25">
      <c r="B119"/>
      <c r="C119"/>
      <c r="D119"/>
      <c r="E119"/>
      <c r="F119"/>
      <c r="G119"/>
      <c r="H119"/>
      <c r="I119"/>
      <c r="J119"/>
      <c r="K119"/>
      <c r="L119"/>
      <c r="M119"/>
    </row>
    <row r="120" spans="2:13" x14ac:dyDescent="0.25">
      <c r="B120"/>
      <c r="C120"/>
      <c r="D120"/>
      <c r="E120"/>
      <c r="F120"/>
      <c r="G120"/>
      <c r="H120"/>
      <c r="I120"/>
      <c r="J120"/>
      <c r="K120"/>
      <c r="L120"/>
      <c r="M120"/>
    </row>
    <row r="121" spans="2:13" x14ac:dyDescent="0.25">
      <c r="B121"/>
      <c r="C121"/>
      <c r="D121"/>
      <c r="E121"/>
      <c r="F121"/>
      <c r="G121"/>
      <c r="H121"/>
      <c r="I121"/>
      <c r="J121"/>
      <c r="K121"/>
      <c r="L121"/>
      <c r="M121"/>
    </row>
    <row r="122" spans="2:13" x14ac:dyDescent="0.25">
      <c r="B122"/>
      <c r="C122"/>
      <c r="D122"/>
      <c r="E122"/>
      <c r="F122"/>
      <c r="G122"/>
      <c r="H122"/>
      <c r="I122"/>
      <c r="J122"/>
      <c r="K122"/>
      <c r="L122"/>
      <c r="M122"/>
    </row>
    <row r="123" spans="2:13" x14ac:dyDescent="0.25">
      <c r="B123"/>
      <c r="C123"/>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x14ac:dyDescent="0.25">
      <c r="B137"/>
      <c r="C137"/>
      <c r="D137"/>
      <c r="E137"/>
      <c r="F137"/>
      <c r="G137"/>
      <c r="H137"/>
      <c r="I137"/>
      <c r="J137"/>
      <c r="K137"/>
      <c r="L137"/>
      <c r="M137"/>
    </row>
    <row r="138" spans="2:13" x14ac:dyDescent="0.25">
      <c r="B138"/>
      <c r="C138"/>
      <c r="D138"/>
      <c r="E138"/>
      <c r="F138"/>
      <c r="G138"/>
      <c r="H138"/>
      <c r="I138"/>
      <c r="J138"/>
      <c r="K138"/>
      <c r="L138"/>
      <c r="M138"/>
    </row>
    <row r="139" spans="2:13" x14ac:dyDescent="0.25">
      <c r="B139"/>
      <c r="C139"/>
      <c r="D139"/>
      <c r="E139"/>
      <c r="F139"/>
      <c r="G139"/>
      <c r="H139"/>
      <c r="I139"/>
      <c r="J139"/>
      <c r="K139"/>
      <c r="L139"/>
      <c r="M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C148"/>
      <c r="D148"/>
      <c r="E148"/>
      <c r="F148"/>
      <c r="G148"/>
      <c r="H148"/>
    </row>
    <row r="149" spans="2:13" x14ac:dyDescent="0.25">
      <c r="C149"/>
      <c r="D149"/>
      <c r="E149"/>
      <c r="F149"/>
      <c r="G149"/>
      <c r="H149"/>
    </row>
    <row r="150" spans="2:13" x14ac:dyDescent="0.25">
      <c r="C150"/>
      <c r="D150"/>
      <c r="E150"/>
      <c r="F150"/>
      <c r="G150"/>
      <c r="H150"/>
    </row>
    <row r="151" spans="2:13" x14ac:dyDescent="0.25">
      <c r="C151"/>
      <c r="D151"/>
      <c r="E151"/>
      <c r="F151"/>
      <c r="G151"/>
      <c r="H151"/>
    </row>
    <row r="152" spans="2:13" x14ac:dyDescent="0.25">
      <c r="C152"/>
      <c r="D152"/>
      <c r="E152"/>
      <c r="F152"/>
      <c r="G152"/>
      <c r="H152"/>
    </row>
    <row r="153" spans="2:13" x14ac:dyDescent="0.25">
      <c r="C153"/>
      <c r="D153"/>
      <c r="E153"/>
      <c r="F153"/>
      <c r="G153"/>
      <c r="H153"/>
    </row>
    <row r="154" spans="2:13" x14ac:dyDescent="0.25">
      <c r="C154"/>
      <c r="D154"/>
      <c r="E154"/>
      <c r="F154"/>
      <c r="G154"/>
      <c r="H154"/>
    </row>
    <row r="155" spans="2:13" x14ac:dyDescent="0.25">
      <c r="C155"/>
      <c r="D155"/>
      <c r="E155"/>
      <c r="F155"/>
      <c r="G155"/>
      <c r="H155"/>
    </row>
    <row r="156" spans="2:13" x14ac:dyDescent="0.25">
      <c r="C156"/>
      <c r="D156"/>
      <c r="E156"/>
      <c r="F156"/>
      <c r="G156"/>
      <c r="H156"/>
    </row>
    <row r="157" spans="2:13" x14ac:dyDescent="0.25">
      <c r="C157"/>
      <c r="D157"/>
      <c r="E157"/>
      <c r="F157"/>
      <c r="G157"/>
      <c r="H157"/>
    </row>
    <row r="158" spans="2:13" x14ac:dyDescent="0.25">
      <c r="C158"/>
      <c r="D158"/>
      <c r="E158"/>
      <c r="F158"/>
      <c r="G158"/>
      <c r="H158"/>
    </row>
    <row r="226" spans="2:2" x14ac:dyDescent="0.25">
      <c r="B226" s="1" t="str">
        <f>'Anlık Veri'!A72</f>
        <v xml:space="preserve">Euro 20,2875 %0,09 </v>
      </c>
    </row>
  </sheetData>
  <sheetProtection algorithmName="SHA-512" hashValue="0paFEG8TaTm0JigzbTgQcKEvRWEspDg6TvwHnrTh0fzLmQ08bAWCD21mY44kfYi62BXv/dto4MOPHa7Fs0B5Cw==" saltValue="jVpHJBtZRMMLdRflm2eAow==" spinCount="100000" sheet="1" objects="1" scenarios="1"/>
  <mergeCells count="50">
    <mergeCell ref="A2:H2"/>
    <mergeCell ref="J2:M2"/>
    <mergeCell ref="H17:J17"/>
    <mergeCell ref="H18:J18"/>
    <mergeCell ref="H19:I20"/>
    <mergeCell ref="J19:J20"/>
    <mergeCell ref="M10:Q10"/>
    <mergeCell ref="M11:O11"/>
    <mergeCell ref="M13:O13"/>
    <mergeCell ref="M14:O14"/>
    <mergeCell ref="M15:O15"/>
    <mergeCell ref="P15:Q15"/>
    <mergeCell ref="P14:Q14"/>
    <mergeCell ref="P13:Q13"/>
    <mergeCell ref="P11:Q11"/>
    <mergeCell ref="M16:O16"/>
    <mergeCell ref="P16:Q16"/>
    <mergeCell ref="D15:F15"/>
    <mergeCell ref="D16:F16"/>
    <mergeCell ref="A10:F10"/>
    <mergeCell ref="A11:C11"/>
    <mergeCell ref="A13:C13"/>
    <mergeCell ref="A14:C14"/>
    <mergeCell ref="A15:C15"/>
    <mergeCell ref="A16:C16"/>
    <mergeCell ref="A12:C12"/>
    <mergeCell ref="D12:F12"/>
    <mergeCell ref="N2:Q2"/>
    <mergeCell ref="A1:Q1"/>
    <mergeCell ref="D13:F13"/>
    <mergeCell ref="D14:F14"/>
    <mergeCell ref="A4:E4"/>
    <mergeCell ref="A6:E6"/>
    <mergeCell ref="F4:H4"/>
    <mergeCell ref="F6:H6"/>
    <mergeCell ref="I4:K6"/>
    <mergeCell ref="L4:M6"/>
    <mergeCell ref="M12:O12"/>
    <mergeCell ref="P12:Q12"/>
    <mergeCell ref="A5:E5"/>
    <mergeCell ref="F5:H5"/>
    <mergeCell ref="M8:Q8"/>
    <mergeCell ref="M9:Q9"/>
    <mergeCell ref="A3:H3"/>
    <mergeCell ref="A8:F8"/>
    <mergeCell ref="A9:F9"/>
    <mergeCell ref="D11:F11"/>
    <mergeCell ref="I3:Q3"/>
    <mergeCell ref="N4:Q5"/>
    <mergeCell ref="N6:Q6"/>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1"/>
  <dimension ref="A1:Q131"/>
  <sheetViews>
    <sheetView showGridLines="0" zoomScale="70" zoomScaleNormal="70" workbookViewId="0">
      <selection activeCell="K2" sqref="K2:K9"/>
    </sheetView>
  </sheetViews>
  <sheetFormatPr defaultRowHeight="15" x14ac:dyDescent="0.25"/>
  <cols>
    <col min="1" max="1" width="6.140625" style="41" customWidth="1"/>
    <col min="2" max="2" width="37.28515625" style="41" customWidth="1"/>
    <col min="3" max="3" width="9.85546875" style="41" customWidth="1"/>
    <col min="4" max="4" width="13" style="41" customWidth="1"/>
    <col min="5" max="5" width="17" style="41" customWidth="1"/>
    <col min="6" max="6" width="17.140625" style="41" customWidth="1"/>
    <col min="7" max="7" width="22.7109375" style="41" customWidth="1"/>
    <col min="8" max="8" width="14.5703125" style="41" customWidth="1"/>
    <col min="9" max="9" width="22.28515625" style="41" customWidth="1"/>
    <col min="10" max="11" width="11.85546875" style="41" customWidth="1"/>
    <col min="12" max="12" width="24.28515625" style="41" customWidth="1"/>
    <col min="13" max="13" width="6.85546875" style="41" customWidth="1"/>
    <col min="14" max="14" width="19.42578125" style="41" customWidth="1"/>
    <col min="15" max="15" width="9.140625" style="41"/>
    <col min="16" max="16" width="5.42578125" style="41" customWidth="1"/>
    <col min="17" max="17" width="19.5703125" style="41" customWidth="1"/>
    <col min="18" max="16384" width="9.140625" style="41"/>
  </cols>
  <sheetData>
    <row r="1" spans="1:17" ht="55.5" customHeight="1" x14ac:dyDescent="0.25">
      <c r="A1" s="151" t="s">
        <v>776</v>
      </c>
      <c r="B1" s="151"/>
      <c r="C1" s="151"/>
      <c r="D1" s="151"/>
      <c r="E1" s="151"/>
      <c r="F1" s="151"/>
      <c r="G1" s="151"/>
      <c r="H1" s="151"/>
      <c r="I1" s="151"/>
      <c r="J1" s="151"/>
      <c r="K1" s="151"/>
      <c r="L1" s="151"/>
      <c r="M1" s="151"/>
      <c r="N1" s="151"/>
      <c r="O1" s="151"/>
      <c r="P1" s="151"/>
      <c r="Q1" s="151"/>
    </row>
    <row r="2" spans="1:17" ht="64.5" customHeight="1" x14ac:dyDescent="0.25">
      <c r="A2" s="40" t="s">
        <v>585</v>
      </c>
      <c r="B2" s="40" t="s">
        <v>685</v>
      </c>
      <c r="C2" s="40" t="s">
        <v>719</v>
      </c>
      <c r="D2" s="40" t="s">
        <v>0</v>
      </c>
      <c r="E2" s="40" t="s">
        <v>19</v>
      </c>
      <c r="F2" s="40" t="s">
        <v>720</v>
      </c>
      <c r="G2" s="40" t="s">
        <v>752</v>
      </c>
      <c r="H2" s="40" t="s">
        <v>774</v>
      </c>
      <c r="I2" s="40" t="s">
        <v>673</v>
      </c>
      <c r="J2" s="40" t="s">
        <v>721</v>
      </c>
      <c r="K2" s="40" t="s">
        <v>757</v>
      </c>
      <c r="L2" s="40" t="s">
        <v>587</v>
      </c>
      <c r="N2" s="149" t="s">
        <v>755</v>
      </c>
      <c r="O2" s="161">
        <f>SUM(I2:I23)</f>
        <v>152855.65000000002</v>
      </c>
      <c r="P2" s="161"/>
      <c r="Q2" s="161"/>
    </row>
    <row r="3" spans="1:17" ht="28.5" customHeight="1" x14ac:dyDescent="0.25">
      <c r="A3" s="42">
        <v>1</v>
      </c>
      <c r="B3" s="42" t="str">
        <f>AKSA!$C$1</f>
        <v>AKSA</v>
      </c>
      <c r="C3" s="43">
        <f>AKSA!$F$4</f>
        <v>331</v>
      </c>
      <c r="D3" s="43">
        <f>AKSA!$F$6</f>
        <v>3000</v>
      </c>
      <c r="E3" s="44">
        <f>IFERROR(C3*100/D3,"")</f>
        <v>11.033333333333333</v>
      </c>
      <c r="F3" s="45">
        <f>IFERROR(AKSA!N8,"")</f>
        <v>0</v>
      </c>
      <c r="G3" s="45">
        <f>IFERROR(AKSA!U6,"")</f>
        <v>21842.13708</v>
      </c>
      <c r="H3" s="45">
        <f>AKSA!U8</f>
        <v>43.597080000000005</v>
      </c>
      <c r="I3" s="46">
        <f>IFERROR(AKSA!U4,"")</f>
        <v>27638.5</v>
      </c>
      <c r="J3" s="47">
        <f>IFERROR(AKSA!N10/100,"")</f>
        <v>2.6537526519360161E-3</v>
      </c>
      <c r="K3" s="47">
        <f>IFERROR(AKSA!F10,"")</f>
        <v>-2.3399999999999997E-2</v>
      </c>
      <c r="L3" s="48">
        <f>IFERROR(AKSA!U10,"")</f>
        <v>5796.3629199999996</v>
      </c>
      <c r="N3" s="160"/>
      <c r="O3" s="150"/>
      <c r="P3" s="150"/>
      <c r="Q3" s="150"/>
    </row>
    <row r="4" spans="1:17" ht="28.5" customHeight="1" x14ac:dyDescent="0.25">
      <c r="A4" s="49">
        <v>2</v>
      </c>
      <c r="B4" s="49" t="str">
        <f>ALKIM!$C$1</f>
        <v>ALKIM</v>
      </c>
      <c r="C4" s="50">
        <f>ALKIM!$F$4</f>
        <v>520</v>
      </c>
      <c r="D4" s="50">
        <f>ALKIM!$F$6</f>
        <v>2000</v>
      </c>
      <c r="E4" s="51">
        <f t="shared" ref="E4:E17" si="0">IFERROR(C4*100/D4,"")</f>
        <v>26</v>
      </c>
      <c r="F4" s="52">
        <f>IFERROR(ALKIM!N8,"")</f>
        <v>0</v>
      </c>
      <c r="G4" s="52">
        <f>IFERROR(ALKIM!U6,"")</f>
        <v>15411.812099999999</v>
      </c>
      <c r="H4" s="52">
        <f>ALKIM!U8</f>
        <v>30.7621</v>
      </c>
      <c r="I4" s="53">
        <f>IFERROR(ALKIM!U4,"")</f>
        <v>15870.4</v>
      </c>
      <c r="J4" s="54">
        <f>IFERROR(ALKIM!N10/100,"")</f>
        <v>2.9755611930929295E-4</v>
      </c>
      <c r="K4" s="55">
        <f>IFERROR(ALKIM!F10,"")</f>
        <v>-1.7399999999999999E-2</v>
      </c>
      <c r="L4" s="53">
        <f>IFERROR(ALKIM!U10,"")</f>
        <v>458.58790000000045</v>
      </c>
      <c r="N4" s="162" t="s">
        <v>722</v>
      </c>
      <c r="O4" s="163">
        <f>SUM(G2:G23)</f>
        <v>121457.48473999999</v>
      </c>
      <c r="P4" s="163"/>
      <c r="Q4" s="163"/>
    </row>
    <row r="5" spans="1:17" ht="28.5" customHeight="1" x14ac:dyDescent="0.25">
      <c r="A5" s="42">
        <v>3</v>
      </c>
      <c r="B5" s="42" t="str">
        <f>EREĞLİ!$C$1</f>
        <v>EREĞLİ</v>
      </c>
      <c r="C5" s="43">
        <f>EREĞLİ!$F$4</f>
        <v>790</v>
      </c>
      <c r="D5" s="43">
        <f>EREĞLİ!$F$6</f>
        <v>10000</v>
      </c>
      <c r="E5" s="44">
        <f t="shared" si="0"/>
        <v>7.9</v>
      </c>
      <c r="F5" s="45">
        <f>IFERROR(EREĞLİ!N8,"")</f>
        <v>0</v>
      </c>
      <c r="G5" s="45">
        <f>IFERROR(EREĞLİ!U6,"")</f>
        <v>26740.263780000001</v>
      </c>
      <c r="H5" s="45">
        <f>EREĞLİ!U8</f>
        <v>53.373780000000004</v>
      </c>
      <c r="I5" s="46">
        <f>IFERROR(EREĞLİ!U4,"")</f>
        <v>29498.600000000002</v>
      </c>
      <c r="J5" s="56">
        <f>IFERROR(EREĞLİ!N10/100,"")</f>
        <v>1.0315291736437767E-3</v>
      </c>
      <c r="K5" s="47">
        <f>IFERROR(EREĞLİ!F10,"")</f>
        <v>-1.7399999999999999E-2</v>
      </c>
      <c r="L5" s="53">
        <f>IFERROR(EREĞLİ!U10,"")</f>
        <v>2758.336220000001</v>
      </c>
      <c r="N5" s="162"/>
      <c r="O5" s="163"/>
      <c r="P5" s="163"/>
      <c r="Q5" s="163"/>
    </row>
    <row r="6" spans="1:17" ht="28.5" customHeight="1" x14ac:dyDescent="0.25">
      <c r="A6" s="49">
        <v>4</v>
      </c>
      <c r="B6" s="49" t="str">
        <f>ISDMR!$C$1</f>
        <v>ISDMR</v>
      </c>
      <c r="C6" s="50">
        <f>ISDMR!$F$4</f>
        <v>545</v>
      </c>
      <c r="D6" s="50">
        <f>ISDMR!$F$6</f>
        <v>5000</v>
      </c>
      <c r="E6" s="51">
        <f t="shared" si="0"/>
        <v>10.9</v>
      </c>
      <c r="F6" s="52">
        <f>IFERROR(ISDMR!N8,"")</f>
        <v>0</v>
      </c>
      <c r="G6" s="52">
        <f>IFERROR(ISDMR!U6,"")</f>
        <v>15138.506580000001</v>
      </c>
      <c r="H6" s="52">
        <f>ISDMR!U8</f>
        <v>30.216580000000004</v>
      </c>
      <c r="I6" s="53">
        <f>IFERROR(ISDMR!U4,"")</f>
        <v>19729</v>
      </c>
      <c r="J6" s="54">
        <f>IFERROR(ISDMR!N10/100,"")</f>
        <v>3.0323291110264843E-3</v>
      </c>
      <c r="K6" s="55">
        <f>IFERROR(ISDMR!F10,"")</f>
        <v>-2.7900000000000001E-2</v>
      </c>
      <c r="L6" s="53">
        <f>IFERROR(ISDMR!U10,"")</f>
        <v>4590.4934199999989</v>
      </c>
      <c r="N6" s="148" t="s">
        <v>723</v>
      </c>
      <c r="O6" s="150">
        <f>O2-O4</f>
        <v>31398.165260000038</v>
      </c>
      <c r="P6" s="150"/>
      <c r="Q6" s="150"/>
    </row>
    <row r="7" spans="1:17" ht="28.5" customHeight="1" x14ac:dyDescent="0.25">
      <c r="A7" s="42">
        <v>5</v>
      </c>
      <c r="B7" s="42" t="str">
        <f>SASA!$C$1</f>
        <v>SASA</v>
      </c>
      <c r="C7" s="43">
        <f>SASA!$F$4</f>
        <v>131</v>
      </c>
      <c r="D7" s="43">
        <f>SASA!$F$6</f>
        <v>1000</v>
      </c>
      <c r="E7" s="44">
        <f t="shared" si="0"/>
        <v>13.1</v>
      </c>
      <c r="F7" s="45">
        <f>IFERROR(SASA!N8,"")</f>
        <v>0</v>
      </c>
      <c r="G7" s="45">
        <f>IFERROR(SASA!U6,"")</f>
        <v>8529.9658799999997</v>
      </c>
      <c r="H7" s="45">
        <f>SASA!U8</f>
        <v>17.025880000000001</v>
      </c>
      <c r="I7" s="46">
        <f>IFERROR(SASA!U4,"")</f>
        <v>14252.8</v>
      </c>
      <c r="J7" s="56">
        <f>IFERROR(SASA!N10/100,"")</f>
        <v>6.7090938000328778E-3</v>
      </c>
      <c r="K7" s="47">
        <f>IFERROR(SASA!F10,"")</f>
        <v>-2.6000000000000002E-2</v>
      </c>
      <c r="L7" s="53">
        <f>IFERROR(SASA!U10,"")</f>
        <v>5722.8341199999995</v>
      </c>
      <c r="N7" s="149"/>
      <c r="O7" s="150"/>
      <c r="P7" s="150"/>
      <c r="Q7" s="150"/>
    </row>
    <row r="8" spans="1:17" ht="28.5" customHeight="1" x14ac:dyDescent="0.25">
      <c r="A8" s="49">
        <v>6</v>
      </c>
      <c r="B8" s="49" t="str">
        <f>TTRAK!$C$1</f>
        <v>TTRAK</v>
      </c>
      <c r="C8" s="50">
        <f>TTRAK!$F$4</f>
        <v>50</v>
      </c>
      <c r="D8" s="50">
        <f>TTRAK!$F$6</f>
        <v>500</v>
      </c>
      <c r="E8" s="51">
        <f t="shared" si="0"/>
        <v>10</v>
      </c>
      <c r="F8" s="52">
        <f>IFERROR(TTRAK!N8,"")</f>
        <v>1674</v>
      </c>
      <c r="G8" s="52">
        <f>IFERROR(TTRAK!U6,"")</f>
        <v>16352.941919999997</v>
      </c>
      <c r="H8" s="52">
        <f>TTRAK!U8</f>
        <v>35.981920000000002</v>
      </c>
      <c r="I8" s="53">
        <f>IFERROR(TTRAK!U4,"")</f>
        <v>26135.000000000004</v>
      </c>
      <c r="J8" s="54">
        <f>IFERROR(TTRAK!N10/100,"")</f>
        <v>5.9818338057180641E-3</v>
      </c>
      <c r="K8" s="55">
        <f>IFERROR(TTRAK!F10,"")</f>
        <v>-3.3799999999999997E-2</v>
      </c>
      <c r="L8" s="53">
        <f>IFERROR(TTRAK!U10,"")</f>
        <v>9782.0580800000062</v>
      </c>
      <c r="N8" s="162" t="s">
        <v>773</v>
      </c>
      <c r="O8" s="172">
        <f>AVERAGE(K3:K17)</f>
        <v>-2.1571428571428571E-2</v>
      </c>
      <c r="P8" s="172"/>
      <c r="Q8" s="172"/>
    </row>
    <row r="9" spans="1:17" ht="28.5" customHeight="1" x14ac:dyDescent="0.25">
      <c r="A9" s="42">
        <v>7</v>
      </c>
      <c r="B9" s="42" t="str">
        <f>VESBE!$C$1</f>
        <v>VESBE</v>
      </c>
      <c r="C9" s="43">
        <f>VESBE!$F$4</f>
        <v>1685</v>
      </c>
      <c r="D9" s="43">
        <f>VESBE!$F$6</f>
        <v>10000</v>
      </c>
      <c r="E9" s="44">
        <f t="shared" si="0"/>
        <v>16.850000000000001</v>
      </c>
      <c r="F9" s="45">
        <f>IFERROR(VESBE!N8,"")</f>
        <v>172</v>
      </c>
      <c r="G9" s="45">
        <f>IFERROR(VESBE!U6,"")</f>
        <v>17441.857399999997</v>
      </c>
      <c r="H9" s="45">
        <f>VESBE!U8</f>
        <v>35.157400000000003</v>
      </c>
      <c r="I9" s="46">
        <f>IFERROR(VESBE!U4,"")</f>
        <v>19731.350000000002</v>
      </c>
      <c r="J9" s="56">
        <f>IFERROR(VESBE!N10/100,"")</f>
        <v>1.3126426546750721E-3</v>
      </c>
      <c r="K9" s="47">
        <f>IFERROR(VESBE!F10,"")</f>
        <v>-5.1000000000000004E-3</v>
      </c>
      <c r="L9" s="53">
        <f>IFERROR(VESBE!U10,"")</f>
        <v>2289.492600000005</v>
      </c>
      <c r="N9" s="162"/>
      <c r="O9" s="172"/>
      <c r="P9" s="172"/>
      <c r="Q9" s="172"/>
    </row>
    <row r="10" spans="1:17" ht="28.5" customHeight="1" x14ac:dyDescent="0.25">
      <c r="A10" s="49">
        <v>8</v>
      </c>
      <c r="B10" s="49" t="str">
        <f>Hisse8!$C$1</f>
        <v>Hisse8</v>
      </c>
      <c r="C10" s="50">
        <f>Hisse8!$F$4</f>
        <v>0</v>
      </c>
      <c r="D10" s="50">
        <f>Hisse8!$F$6</f>
        <v>0</v>
      </c>
      <c r="E10" s="51" t="str">
        <f t="shared" si="0"/>
        <v/>
      </c>
      <c r="F10" s="52">
        <f>IFERROR(Hisse8!N8,"")</f>
        <v>0</v>
      </c>
      <c r="G10" s="52">
        <f>IFERROR(Hisse8!U6,"")</f>
        <v>0</v>
      </c>
      <c r="H10" s="52">
        <f>Hisse8!U8</f>
        <v>0</v>
      </c>
      <c r="I10" s="53" t="str">
        <f>IFERROR(Hisse8!U4,"")</f>
        <v/>
      </c>
      <c r="J10" s="54" t="str">
        <f>IFERROR(Hisse8!N10/100,"")</f>
        <v/>
      </c>
      <c r="K10" s="55" t="str">
        <f>IFERROR(Hisse8!F10,"")</f>
        <v/>
      </c>
      <c r="L10" s="53" t="str">
        <f>IFERROR(Hisse8!U10,"")</f>
        <v/>
      </c>
      <c r="N10" s="173" t="s">
        <v>724</v>
      </c>
      <c r="O10" s="174">
        <f>SUM(C2:C23)</f>
        <v>4052</v>
      </c>
      <c r="P10" s="174"/>
      <c r="Q10" s="174"/>
    </row>
    <row r="11" spans="1:17" ht="28.5" customHeight="1" x14ac:dyDescent="0.25">
      <c r="A11" s="42">
        <v>9</v>
      </c>
      <c r="B11" s="42" t="str">
        <f>Hisse9!$C$1</f>
        <v>Hisse9</v>
      </c>
      <c r="C11" s="43">
        <f>Hisse9!$F$4</f>
        <v>0</v>
      </c>
      <c r="D11" s="43">
        <f>Hisse9!$F$6</f>
        <v>0</v>
      </c>
      <c r="E11" s="44" t="str">
        <f t="shared" si="0"/>
        <v/>
      </c>
      <c r="F11" s="45">
        <f>IFERROR(Hisse9!N8,"")</f>
        <v>0</v>
      </c>
      <c r="G11" s="45">
        <f>IFERROR(Hisse9!U6,"")</f>
        <v>0</v>
      </c>
      <c r="H11" s="45">
        <f>Hisse9!U8</f>
        <v>0</v>
      </c>
      <c r="I11" s="46" t="str">
        <f>IFERROR(Hisse9!U4,"")</f>
        <v/>
      </c>
      <c r="J11" s="56" t="str">
        <f>IFERROR(Hisse9!N10/100,"")</f>
        <v/>
      </c>
      <c r="K11" s="47" t="str">
        <f>IFERROR(Hisse9!F10,"")</f>
        <v/>
      </c>
      <c r="L11" s="53" t="str">
        <f>IFERROR(Hisse9!U10,"")</f>
        <v/>
      </c>
      <c r="N11" s="173"/>
      <c r="O11" s="174"/>
      <c r="P11" s="174"/>
      <c r="Q11" s="174"/>
    </row>
    <row r="12" spans="1:17" ht="28.5" customHeight="1" x14ac:dyDescent="0.25">
      <c r="A12" s="49">
        <v>10</v>
      </c>
      <c r="B12" s="49" t="str">
        <f>Hisse10!$C$1</f>
        <v>Hisse10</v>
      </c>
      <c r="C12" s="50">
        <f>Hisse10!$F$4</f>
        <v>0</v>
      </c>
      <c r="D12" s="50">
        <f>Hisse10!$F$6</f>
        <v>0</v>
      </c>
      <c r="E12" s="51" t="str">
        <f t="shared" si="0"/>
        <v/>
      </c>
      <c r="F12" s="52">
        <f>IFERROR(Hisse10!N8,"")</f>
        <v>0</v>
      </c>
      <c r="G12" s="52">
        <f>IFERROR(Hisse10!U6,"")</f>
        <v>0</v>
      </c>
      <c r="H12" s="52">
        <f>Hisse10!U8</f>
        <v>0</v>
      </c>
      <c r="I12" s="53" t="str">
        <f>IFERROR(Hisse10!U4,"")</f>
        <v/>
      </c>
      <c r="J12" s="54" t="str">
        <f>IFERROR(Hisse10!N10/100,"")</f>
        <v/>
      </c>
      <c r="K12" s="55" t="str">
        <f>IFERROR(Hisse10!F10,"")</f>
        <v/>
      </c>
      <c r="L12" s="53" t="str">
        <f>IFERROR(Hisse10!U10,"")</f>
        <v/>
      </c>
      <c r="N12" s="164" t="s">
        <v>756</v>
      </c>
      <c r="O12" s="166">
        <f>SUM(F2:F23)</f>
        <v>1846</v>
      </c>
      <c r="P12" s="175"/>
      <c r="Q12" s="176"/>
    </row>
    <row r="13" spans="1:17" ht="28.5" customHeight="1" x14ac:dyDescent="0.25">
      <c r="A13" s="42">
        <v>11</v>
      </c>
      <c r="B13" s="42" t="str">
        <f>Hisse11!$C$1</f>
        <v>Hisse11</v>
      </c>
      <c r="C13" s="43">
        <f>Hisse11!$F$4</f>
        <v>0</v>
      </c>
      <c r="D13" s="43">
        <f>Hisse11!$F$6</f>
        <v>0</v>
      </c>
      <c r="E13" s="44" t="str">
        <f t="shared" si="0"/>
        <v/>
      </c>
      <c r="F13" s="45">
        <f>IFERROR(Hisse11!N8,"")</f>
        <v>0</v>
      </c>
      <c r="G13" s="45">
        <f>IFERROR(Hisse11!U6,"")</f>
        <v>0</v>
      </c>
      <c r="H13" s="45">
        <f>Hisse11!U8</f>
        <v>0</v>
      </c>
      <c r="I13" s="46" t="str">
        <f>IFERROR(Hisse11!U4,"")</f>
        <v/>
      </c>
      <c r="J13" s="56" t="str">
        <f>IFERROR(Hisse11!N10/100,"")</f>
        <v/>
      </c>
      <c r="K13" s="47" t="str">
        <f>IFERROR(Hisse11!F10,"")</f>
        <v/>
      </c>
      <c r="L13" s="53" t="str">
        <f>IFERROR(Hisse11!U10,"")</f>
        <v/>
      </c>
      <c r="N13" s="165"/>
      <c r="O13" s="177"/>
      <c r="P13" s="178"/>
      <c r="Q13" s="179"/>
    </row>
    <row r="14" spans="1:17" ht="28.5" customHeight="1" x14ac:dyDescent="0.25">
      <c r="A14" s="49">
        <v>12</v>
      </c>
      <c r="B14" s="49" t="str">
        <f>Hisse12!$C$1</f>
        <v>Hisse12</v>
      </c>
      <c r="C14" s="50">
        <f>Hisse12!$F$4</f>
        <v>0</v>
      </c>
      <c r="D14" s="50">
        <f>Hisse12!$F$6</f>
        <v>0</v>
      </c>
      <c r="E14" s="51" t="str">
        <f t="shared" si="0"/>
        <v/>
      </c>
      <c r="F14" s="52">
        <f>IFERROR(Hisse12!N8,"")</f>
        <v>0</v>
      </c>
      <c r="G14" s="52">
        <f>IFERROR(Hisse12!U6,"")</f>
        <v>0</v>
      </c>
      <c r="H14" s="52">
        <f>Hisse12!U8</f>
        <v>0</v>
      </c>
      <c r="I14" s="53" t="str">
        <f>IFERROR(Hisse12!U4,"")</f>
        <v/>
      </c>
      <c r="J14" s="54" t="str">
        <f>IFERROR(Hisse12!N10/100,"")</f>
        <v/>
      </c>
      <c r="K14" s="55" t="str">
        <f>IFERROR(Hisse12!F10,"")</f>
        <v/>
      </c>
      <c r="L14" s="53" t="str">
        <f>IFERROR(Hisse12!U10,"")</f>
        <v/>
      </c>
      <c r="N14" s="152" t="s">
        <v>725</v>
      </c>
      <c r="O14" s="154">
        <f>O2/O4</f>
        <v>1.2585115715776023</v>
      </c>
      <c r="P14" s="155"/>
      <c r="Q14" s="156"/>
    </row>
    <row r="15" spans="1:17" ht="28.5" customHeight="1" x14ac:dyDescent="0.25">
      <c r="A15" s="42">
        <v>13</v>
      </c>
      <c r="B15" s="42" t="str">
        <f>Hisse13!$C$1</f>
        <v>Hisse13</v>
      </c>
      <c r="C15" s="43">
        <f>Hisse13!$F$4</f>
        <v>0</v>
      </c>
      <c r="D15" s="43">
        <f>Hisse13!$F$6</f>
        <v>0</v>
      </c>
      <c r="E15" s="44" t="str">
        <f t="shared" si="0"/>
        <v/>
      </c>
      <c r="F15" s="45">
        <f>IFERROR(Hisse13!N8,"")</f>
        <v>0</v>
      </c>
      <c r="G15" s="45">
        <f>IFERROR(Hisse13!U6,"")</f>
        <v>0</v>
      </c>
      <c r="H15" s="45">
        <f>Hisse13!U8</f>
        <v>0</v>
      </c>
      <c r="I15" s="46" t="str">
        <f>IFERROR(Hisse13!U4,"")</f>
        <v/>
      </c>
      <c r="J15" s="56" t="str">
        <f>IFERROR(Hisse13!N10/100,"")</f>
        <v/>
      </c>
      <c r="K15" s="47" t="str">
        <f>IFERROR(Hisse13!F10,"")</f>
        <v/>
      </c>
      <c r="L15" s="53" t="str">
        <f>IFERROR(Hisse13!U10,"")</f>
        <v/>
      </c>
      <c r="N15" s="153"/>
      <c r="O15" s="157"/>
      <c r="P15" s="158"/>
      <c r="Q15" s="159"/>
    </row>
    <row r="16" spans="1:17" ht="28.5" customHeight="1" x14ac:dyDescent="0.25">
      <c r="A16" s="49">
        <v>14</v>
      </c>
      <c r="B16" s="49" t="str">
        <f>Hisse14!$C$1</f>
        <v>Hisse14</v>
      </c>
      <c r="C16" s="50">
        <f>Hisse14!$F$4</f>
        <v>0</v>
      </c>
      <c r="D16" s="50">
        <f>Hisse14!$F$6</f>
        <v>0</v>
      </c>
      <c r="E16" s="51" t="str">
        <f t="shared" si="0"/>
        <v/>
      </c>
      <c r="F16" s="52">
        <f>IFERROR(Hisse14!N8,"")</f>
        <v>0</v>
      </c>
      <c r="G16" s="52">
        <f>IFERROR(Hisse14!U6,"")</f>
        <v>0</v>
      </c>
      <c r="H16" s="52">
        <f>Hisse14!U8</f>
        <v>0</v>
      </c>
      <c r="I16" s="53" t="str">
        <f>IFERROR(Hisse14!U4,"")</f>
        <v/>
      </c>
      <c r="J16" s="54" t="str">
        <f>IFERROR(Hisse14!N10/100,"")</f>
        <v/>
      </c>
      <c r="K16" s="55" t="str">
        <f>IFERROR(Hisse14!F10,"")</f>
        <v/>
      </c>
      <c r="L16" s="53" t="str">
        <f>IFERROR(Hisse14!U10,"")</f>
        <v/>
      </c>
      <c r="N16" s="164" t="s">
        <v>775</v>
      </c>
      <c r="O16" s="166">
        <f>SUM(H3:H17)</f>
        <v>246.11474000000001</v>
      </c>
      <c r="P16" s="167"/>
      <c r="Q16" s="168"/>
    </row>
    <row r="17" spans="1:17" ht="28.5" customHeight="1" x14ac:dyDescent="0.25">
      <c r="A17" s="42">
        <v>15</v>
      </c>
      <c r="B17" s="42" t="str">
        <f>Hisse15!$C$1</f>
        <v>Hisse15</v>
      </c>
      <c r="C17" s="43">
        <f>Hisse15!$F$4</f>
        <v>0</v>
      </c>
      <c r="D17" s="43">
        <f>Hisse15!$F$6</f>
        <v>0</v>
      </c>
      <c r="E17" s="57" t="str">
        <f t="shared" si="0"/>
        <v/>
      </c>
      <c r="F17" s="45">
        <f>IFERROR(Hisse15!N8,"")</f>
        <v>0</v>
      </c>
      <c r="G17" s="45">
        <f>IFERROR(Hisse15!U6,"")</f>
        <v>0</v>
      </c>
      <c r="H17" s="45">
        <f>Hisse15!U8</f>
        <v>0</v>
      </c>
      <c r="I17" s="46" t="str">
        <f>IFERROR(Hisse15!U4,"")</f>
        <v/>
      </c>
      <c r="J17" s="56" t="str">
        <f>IFERROR(Hisse15!N10/100,"")</f>
        <v/>
      </c>
      <c r="K17" s="47" t="str">
        <f>IFERROR(Hisse15!F10,"")</f>
        <v/>
      </c>
      <c r="L17" s="53" t="str">
        <f>IFERROR(Hisse15!U10,"")</f>
        <v/>
      </c>
      <c r="N17" s="165"/>
      <c r="O17" s="169"/>
      <c r="P17" s="170"/>
      <c r="Q17" s="171"/>
    </row>
    <row r="127" spans="2:6" x14ac:dyDescent="0.25">
      <c r="B127" s="58"/>
      <c r="C127" s="58"/>
      <c r="D127" s="58"/>
      <c r="E127" s="58"/>
      <c r="F127" s="58"/>
    </row>
    <row r="128" spans="2:6" x14ac:dyDescent="0.25">
      <c r="B128" s="58"/>
      <c r="C128" s="58"/>
      <c r="D128" s="58"/>
      <c r="E128" s="58"/>
      <c r="F128" s="58"/>
    </row>
    <row r="129" spans="2:6" x14ac:dyDescent="0.25">
      <c r="B129" s="58">
        <f>(SUM(C3:C17)*100)/(SUM(D3:D17))</f>
        <v>12.863492063492064</v>
      </c>
      <c r="C129" s="58" t="e">
        <f>(B129+B130)/2</f>
        <v>#DIV/0!</v>
      </c>
      <c r="D129" s="58"/>
      <c r="E129" s="58"/>
      <c r="F129" s="58"/>
    </row>
    <row r="130" spans="2:6" x14ac:dyDescent="0.25">
      <c r="B130" s="58" t="e">
        <f>Altın!F4*100/Altın!F6</f>
        <v>#DIV/0!</v>
      </c>
      <c r="C130" s="58"/>
      <c r="D130" s="58"/>
      <c r="E130" s="58"/>
      <c r="F130" s="58"/>
    </row>
    <row r="131" spans="2:6" x14ac:dyDescent="0.25">
      <c r="B131" s="58"/>
      <c r="C131" s="58"/>
      <c r="D131" s="58"/>
      <c r="E131" s="58"/>
      <c r="F131" s="58"/>
    </row>
  </sheetData>
  <sheetProtection algorithmName="SHA-512" hashValue="iIcGUX7GIcjSQee+gYfJmZzDt9z4LKTr23Jyu2qd+u6EMzDul5lIwEGkDT07BPnxAHTsx0UhxtUJ4s7dD49wcw==" saltValue="t4C4gTS5X2teLgvx4ryhQA==" spinCount="100000" sheet="1" objects="1" scenarios="1"/>
  <mergeCells count="17">
    <mergeCell ref="N16:N17"/>
    <mergeCell ref="O16:Q17"/>
    <mergeCell ref="N8:N9"/>
    <mergeCell ref="O8:Q9"/>
    <mergeCell ref="N10:N11"/>
    <mergeCell ref="O10:Q11"/>
    <mergeCell ref="N12:N13"/>
    <mergeCell ref="O12:Q13"/>
    <mergeCell ref="N6:N7"/>
    <mergeCell ref="O6:Q7"/>
    <mergeCell ref="A1:Q1"/>
    <mergeCell ref="N14:N15"/>
    <mergeCell ref="O14:Q15"/>
    <mergeCell ref="N2:N3"/>
    <mergeCell ref="O2:Q3"/>
    <mergeCell ref="N4:N5"/>
    <mergeCell ref="O4:Q5"/>
  </mergeCells>
  <conditionalFormatting sqref="L3:L17">
    <cfRule type="cellIs" dxfId="81" priority="23" operator="greaterThan">
      <formula>0</formula>
    </cfRule>
    <cfRule type="cellIs" dxfId="80" priority="24" operator="lessThan">
      <formula>0</formula>
    </cfRule>
  </conditionalFormatting>
  <conditionalFormatting sqref="C4">
    <cfRule type="cellIs" dxfId="79" priority="22" operator="lessThan">
      <formula>1</formula>
    </cfRule>
  </conditionalFormatting>
  <conditionalFormatting sqref="C3">
    <cfRule type="cellIs" dxfId="78" priority="21" operator="lessThan">
      <formula>1</formula>
    </cfRule>
  </conditionalFormatting>
  <conditionalFormatting sqref="C6 C8 C10 C12 C14 C16">
    <cfRule type="cellIs" dxfId="77" priority="20" operator="lessThan">
      <formula>1</formula>
    </cfRule>
  </conditionalFormatting>
  <conditionalFormatting sqref="C5 C7 C9 C11 C13 C15 C17">
    <cfRule type="cellIs" dxfId="76" priority="19" operator="lessThan">
      <formula>1</formula>
    </cfRule>
  </conditionalFormatting>
  <conditionalFormatting sqref="E3:E17">
    <cfRule type="dataBar" priority="7">
      <dataBar showValue="0">
        <cfvo type="num" val="0"/>
        <cfvo type="num" val="100"/>
        <color theme="7"/>
      </dataBar>
      <extLst>
        <ext xmlns:x14="http://schemas.microsoft.com/office/spreadsheetml/2009/9/main" uri="{B025F937-C7B1-47D3-B67F-A62EFF666E3E}">
          <x14:id>{9A368D85-73F7-4B08-B3C6-E99F16501A79}</x14:id>
        </ext>
      </extLst>
    </cfRule>
  </conditionalFormatting>
  <conditionalFormatting sqref="K3:K17">
    <cfRule type="cellIs" dxfId="75" priority="5" operator="greaterThan">
      <formula>0</formula>
    </cfRule>
    <cfRule type="cellIs" dxfId="74" priority="6" operator="lessThan">
      <formula>0</formula>
    </cfRule>
  </conditionalFormatting>
  <conditionalFormatting sqref="J3:J17">
    <cfRule type="cellIs" dxfId="73" priority="1" operator="greaterThan">
      <formula>0</formula>
    </cfRule>
    <cfRule type="cellIs" dxfId="72"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9A368D85-73F7-4B08-B3C6-E99F16501A79}">
            <x14:dataBar minLength="0" maxLength="100" gradient="0">
              <x14:cfvo type="num">
                <xm:f>0</xm:f>
              </x14:cfvo>
              <x14:cfvo type="num">
                <xm:f>100</xm:f>
              </x14:cfvo>
              <x14:negativeFillColor rgb="FFFF0000"/>
              <x14:axisColor rgb="FF000000"/>
            </x14:dataBar>
          </x14:cfRule>
          <xm:sqref>E3:E17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31"/>
  <sheetViews>
    <sheetView workbookViewId="0">
      <selection activeCell="C8" sqref="C8"/>
    </sheetView>
  </sheetViews>
  <sheetFormatPr defaultRowHeight="15" x14ac:dyDescent="0.25"/>
  <cols>
    <col min="1" max="1" width="6.140625" style="41" customWidth="1"/>
    <col min="2" max="2" width="15.5703125" style="41" customWidth="1"/>
    <col min="3" max="3" width="9.85546875" style="41" customWidth="1"/>
    <col min="4" max="4" width="13" style="41" customWidth="1"/>
    <col min="5" max="5" width="17" style="41" customWidth="1"/>
    <col min="6" max="6" width="17.140625" style="41" customWidth="1"/>
    <col min="7" max="7" width="22.7109375" style="41" customWidth="1"/>
    <col min="8" max="8" width="14.5703125" style="41" customWidth="1"/>
    <col min="9" max="9" width="22.28515625" style="41" customWidth="1"/>
    <col min="10" max="11" width="11.85546875" style="41" customWidth="1"/>
    <col min="12" max="12" width="24.28515625" style="41" customWidth="1"/>
    <col min="13" max="13" width="6.85546875" style="41" customWidth="1"/>
    <col min="14" max="14" width="19.42578125" style="41" customWidth="1"/>
    <col min="15" max="15" width="9.140625" style="41"/>
    <col min="16" max="16" width="5.42578125" style="41" customWidth="1"/>
    <col min="17" max="17" width="19.5703125" style="41" customWidth="1"/>
    <col min="18" max="16384" width="9.140625" style="41"/>
  </cols>
  <sheetData>
    <row r="1" spans="1:21" ht="55.5" customHeight="1" x14ac:dyDescent="0.25">
      <c r="A1" s="151" t="s">
        <v>776</v>
      </c>
      <c r="B1" s="151"/>
      <c r="C1" s="151"/>
      <c r="D1" s="151"/>
      <c r="E1" s="151"/>
      <c r="F1" s="151"/>
      <c r="G1" s="151"/>
      <c r="H1" s="151"/>
      <c r="I1" s="151"/>
      <c r="J1" s="151"/>
      <c r="K1" s="151"/>
      <c r="L1" s="151"/>
      <c r="M1" s="151"/>
      <c r="N1" s="151"/>
      <c r="O1" s="151"/>
      <c r="P1" s="151"/>
      <c r="Q1" s="151"/>
      <c r="R1" s="180"/>
      <c r="S1" s="181"/>
      <c r="T1" s="181"/>
      <c r="U1" s="182"/>
    </row>
    <row r="2" spans="1:21" ht="64.5" customHeight="1" x14ac:dyDescent="0.25">
      <c r="A2" s="40" t="s">
        <v>585</v>
      </c>
      <c r="B2" s="40" t="s">
        <v>685</v>
      </c>
      <c r="C2" s="40" t="s">
        <v>719</v>
      </c>
      <c r="D2" s="40" t="s">
        <v>0</v>
      </c>
      <c r="E2" s="40" t="s">
        <v>19</v>
      </c>
      <c r="F2" s="40" t="s">
        <v>720</v>
      </c>
      <c r="G2" s="40" t="s">
        <v>752</v>
      </c>
      <c r="H2" s="40" t="s">
        <v>774</v>
      </c>
      <c r="I2" s="40" t="s">
        <v>673</v>
      </c>
      <c r="J2" s="40" t="s">
        <v>721</v>
      </c>
      <c r="K2" s="40" t="s">
        <v>757</v>
      </c>
      <c r="L2" s="40" t="s">
        <v>587</v>
      </c>
      <c r="N2" s="149" t="s">
        <v>755</v>
      </c>
      <c r="O2" s="161">
        <f>SUM(I2:I23)</f>
        <v>152855.65000000002</v>
      </c>
      <c r="P2" s="161"/>
      <c r="Q2" s="161"/>
      <c r="R2" s="183"/>
      <c r="S2" s="184"/>
      <c r="T2" s="184"/>
      <c r="U2" s="185"/>
    </row>
    <row r="3" spans="1:21" ht="20.100000000000001" customHeight="1" x14ac:dyDescent="0.25">
      <c r="A3" s="42">
        <v>1</v>
      </c>
      <c r="B3" s="42" t="str">
        <f>AKSA!$C$1</f>
        <v>AKSA</v>
      </c>
      <c r="C3" s="43">
        <f>AKSA!$F$4</f>
        <v>331</v>
      </c>
      <c r="D3" s="43">
        <f>AKSA!$F$6</f>
        <v>3000</v>
      </c>
      <c r="E3" s="44">
        <f>IFERROR(C3*100/D3,"")</f>
        <v>11.033333333333333</v>
      </c>
      <c r="F3" s="45">
        <f>IFERROR(AKSA!N8,"")</f>
        <v>0</v>
      </c>
      <c r="G3" s="45">
        <f>IFERROR(AKSA!U6,"")</f>
        <v>21842.13708</v>
      </c>
      <c r="H3" s="45">
        <f>AKSA!U8</f>
        <v>43.597080000000005</v>
      </c>
      <c r="I3" s="46">
        <f>IFERROR(AKSA!U4,"")</f>
        <v>27638.5</v>
      </c>
      <c r="J3" s="47">
        <f>IFERROR(AKSA!N10,"")</f>
        <v>0.26537526519360161</v>
      </c>
      <c r="K3" s="47">
        <f>IFERROR(AKSA!F10,"")</f>
        <v>-2.3399999999999997E-2</v>
      </c>
      <c r="L3" s="48">
        <f>IFERROR(AKSA!U10,"")</f>
        <v>5796.3629199999996</v>
      </c>
      <c r="N3" s="160"/>
      <c r="O3" s="150"/>
      <c r="P3" s="150"/>
      <c r="Q3" s="150"/>
      <c r="R3" s="183"/>
      <c r="S3" s="184"/>
      <c r="T3" s="184"/>
      <c r="U3" s="185"/>
    </row>
    <row r="4" spans="1:21" ht="20.100000000000001" customHeight="1" x14ac:dyDescent="0.25">
      <c r="A4" s="49">
        <v>2</v>
      </c>
      <c r="B4" s="49" t="str">
        <f>ALKIM!$C$1</f>
        <v>ALKIM</v>
      </c>
      <c r="C4" s="50">
        <f>ALKIM!$F$4</f>
        <v>520</v>
      </c>
      <c r="D4" s="50">
        <f>ALKIM!$F$6</f>
        <v>2000</v>
      </c>
      <c r="E4" s="51">
        <f t="shared" ref="E4:E17" si="0">IFERROR(C4*100/D4,"")</f>
        <v>26</v>
      </c>
      <c r="F4" s="52">
        <f>IFERROR(ALKIM!N8,"")</f>
        <v>0</v>
      </c>
      <c r="G4" s="52">
        <f>IFERROR(ALKIM!U6,"")</f>
        <v>15411.812099999999</v>
      </c>
      <c r="H4" s="52">
        <f>ALKIM!U8</f>
        <v>30.7621</v>
      </c>
      <c r="I4" s="53">
        <f>IFERROR(ALKIM!U4,"")</f>
        <v>15870.4</v>
      </c>
      <c r="J4" s="55">
        <f>IFERROR(ALKIM!N10,"")</f>
        <v>2.9755611930929293E-2</v>
      </c>
      <c r="K4" s="55">
        <f>IFERROR(ALKIM!F10,"")</f>
        <v>-1.7399999999999999E-2</v>
      </c>
      <c r="L4" s="53">
        <f>IFERROR(ALKIM!U10,"")</f>
        <v>458.58790000000045</v>
      </c>
      <c r="N4" s="162" t="s">
        <v>722</v>
      </c>
      <c r="O4" s="163">
        <f>SUM(G2:G23)</f>
        <v>121457.48473999999</v>
      </c>
      <c r="P4" s="163"/>
      <c r="Q4" s="163"/>
      <c r="R4" s="183"/>
      <c r="S4" s="184"/>
      <c r="T4" s="184"/>
      <c r="U4" s="185"/>
    </row>
    <row r="5" spans="1:21" ht="20.100000000000001" customHeight="1" x14ac:dyDescent="0.25">
      <c r="A5" s="42">
        <v>3</v>
      </c>
      <c r="B5" s="42" t="str">
        <f>EREĞLİ!$C$1</f>
        <v>EREĞLİ</v>
      </c>
      <c r="C5" s="43">
        <f>EREĞLİ!$F$4</f>
        <v>790</v>
      </c>
      <c r="D5" s="43">
        <f>EREĞLİ!$F$6</f>
        <v>10000</v>
      </c>
      <c r="E5" s="44">
        <f t="shared" si="0"/>
        <v>7.9</v>
      </c>
      <c r="F5" s="45">
        <f>IFERROR(EREĞLİ!N8,"")</f>
        <v>0</v>
      </c>
      <c r="G5" s="45">
        <f>IFERROR(EREĞLİ!U6,"")</f>
        <v>26740.263780000001</v>
      </c>
      <c r="H5" s="45">
        <f>EREĞLİ!U8</f>
        <v>53.373780000000004</v>
      </c>
      <c r="I5" s="46">
        <f>IFERROR(EREĞLİ!U4,"")</f>
        <v>29498.600000000002</v>
      </c>
      <c r="J5" s="47">
        <f>IFERROR(EREĞLİ!N10,"")</f>
        <v>0.10315291736437766</v>
      </c>
      <c r="K5" s="47">
        <f>IFERROR(EREĞLİ!F10,"")</f>
        <v>-1.7399999999999999E-2</v>
      </c>
      <c r="L5" s="53">
        <f>IFERROR(EREĞLİ!U10,"")</f>
        <v>2758.336220000001</v>
      </c>
      <c r="N5" s="162"/>
      <c r="O5" s="163"/>
      <c r="P5" s="163"/>
      <c r="Q5" s="163"/>
      <c r="R5" s="183"/>
      <c r="S5" s="184"/>
      <c r="T5" s="184"/>
      <c r="U5" s="185"/>
    </row>
    <row r="6" spans="1:21" ht="20.100000000000001" customHeight="1" x14ac:dyDescent="0.25">
      <c r="A6" s="49">
        <v>4</v>
      </c>
      <c r="B6" s="49" t="str">
        <f>ISDMR!$C$1</f>
        <v>ISDMR</v>
      </c>
      <c r="C6" s="50">
        <f>ISDMR!$F$4</f>
        <v>545</v>
      </c>
      <c r="D6" s="50">
        <f>ISDMR!$F$6</f>
        <v>5000</v>
      </c>
      <c r="E6" s="51">
        <f t="shared" si="0"/>
        <v>10.9</v>
      </c>
      <c r="F6" s="52">
        <f>IFERROR(ISDMR!N8,"")</f>
        <v>0</v>
      </c>
      <c r="G6" s="52">
        <f>IFERROR(ISDMR!U6,"")</f>
        <v>15138.506580000001</v>
      </c>
      <c r="H6" s="52">
        <f>ISDMR!U8</f>
        <v>30.216580000000004</v>
      </c>
      <c r="I6" s="53">
        <f>IFERROR(ISDMR!U4,"")</f>
        <v>19729</v>
      </c>
      <c r="J6" s="47">
        <f>IFERROR(ISDMR!N10,"")</f>
        <v>0.30323291110264844</v>
      </c>
      <c r="K6" s="55">
        <f>IFERROR(ISDMR!F10,"")</f>
        <v>-2.7900000000000001E-2</v>
      </c>
      <c r="L6" s="53">
        <f>IFERROR(ISDMR!U10,"")</f>
        <v>4590.4934199999989</v>
      </c>
      <c r="N6" s="148" t="s">
        <v>723</v>
      </c>
      <c r="O6" s="150">
        <f>O2-O4</f>
        <v>31398.165260000038</v>
      </c>
      <c r="P6" s="150"/>
      <c r="Q6" s="150"/>
      <c r="R6" s="183"/>
      <c r="S6" s="184"/>
      <c r="T6" s="184"/>
      <c r="U6" s="185"/>
    </row>
    <row r="7" spans="1:21" ht="20.100000000000001" customHeight="1" x14ac:dyDescent="0.25">
      <c r="A7" s="42">
        <v>5</v>
      </c>
      <c r="B7" s="42" t="str">
        <f>SASA!$C$1</f>
        <v>SASA</v>
      </c>
      <c r="C7" s="43">
        <f>SASA!$F$4</f>
        <v>131</v>
      </c>
      <c r="D7" s="43">
        <f>SASA!$F$6</f>
        <v>1000</v>
      </c>
      <c r="E7" s="44">
        <f t="shared" si="0"/>
        <v>13.1</v>
      </c>
      <c r="F7" s="45">
        <f>IFERROR(SASA!N8,"")</f>
        <v>0</v>
      </c>
      <c r="G7" s="45">
        <f>IFERROR(SASA!U6,"")</f>
        <v>8529.9658799999997</v>
      </c>
      <c r="H7" s="45">
        <f>SASA!U8</f>
        <v>17.025880000000001</v>
      </c>
      <c r="I7" s="46">
        <f>IFERROR(SASA!U4,"")</f>
        <v>14252.8</v>
      </c>
      <c r="J7" s="47">
        <f>IFERROR(SASA!N10,"")</f>
        <v>0.67090938000328781</v>
      </c>
      <c r="K7" s="47">
        <f>IFERROR(SASA!F10,"")</f>
        <v>-2.6000000000000002E-2</v>
      </c>
      <c r="L7" s="53">
        <f>IFERROR(SASA!U10,"")</f>
        <v>5722.8341199999995</v>
      </c>
      <c r="N7" s="149"/>
      <c r="O7" s="150"/>
      <c r="P7" s="150"/>
      <c r="Q7" s="150"/>
      <c r="R7" s="183"/>
      <c r="S7" s="184"/>
      <c r="T7" s="184"/>
      <c r="U7" s="185"/>
    </row>
    <row r="8" spans="1:21" ht="20.100000000000001" customHeight="1" x14ac:dyDescent="0.25">
      <c r="A8" s="49">
        <v>6</v>
      </c>
      <c r="B8" s="49" t="str">
        <f>TTRAK!$C$1</f>
        <v>TTRAK</v>
      </c>
      <c r="C8" s="50">
        <f>TTRAK!$F$4</f>
        <v>50</v>
      </c>
      <c r="D8" s="50">
        <f>TTRAK!$F$6</f>
        <v>500</v>
      </c>
      <c r="E8" s="51">
        <f t="shared" si="0"/>
        <v>10</v>
      </c>
      <c r="F8" s="52">
        <f>IFERROR(TTRAK!N8,"")</f>
        <v>1674</v>
      </c>
      <c r="G8" s="52">
        <f>IFERROR(TTRAK!U6,"")</f>
        <v>16352.941919999997</v>
      </c>
      <c r="H8" s="52">
        <f>TTRAK!U8</f>
        <v>35.981920000000002</v>
      </c>
      <c r="I8" s="53">
        <f>IFERROR(TTRAK!U4,"")</f>
        <v>26135.000000000004</v>
      </c>
      <c r="J8" s="47">
        <f>IFERROR(TTRAK!N10,"")</f>
        <v>0.59818338057180642</v>
      </c>
      <c r="K8" s="55">
        <f>IFERROR(TTRAK!F10,"")</f>
        <v>-3.3799999999999997E-2</v>
      </c>
      <c r="L8" s="53">
        <f>IFERROR(TTRAK!U10,"")</f>
        <v>9782.0580800000062</v>
      </c>
      <c r="N8" s="173" t="s">
        <v>724</v>
      </c>
      <c r="O8" s="174">
        <f>SUM(C2:C23)</f>
        <v>4052</v>
      </c>
      <c r="P8" s="174"/>
      <c r="Q8" s="174"/>
      <c r="R8" s="183"/>
      <c r="S8" s="184"/>
      <c r="T8" s="184"/>
      <c r="U8" s="185"/>
    </row>
    <row r="9" spans="1:21" ht="20.100000000000001" customHeight="1" x14ac:dyDescent="0.25">
      <c r="A9" s="42">
        <v>7</v>
      </c>
      <c r="B9" s="42" t="str">
        <f>VESBE!$C$1</f>
        <v>VESBE</v>
      </c>
      <c r="C9" s="43">
        <f>VESBE!$F$4</f>
        <v>1685</v>
      </c>
      <c r="D9" s="43">
        <f>VESBE!$F$6</f>
        <v>10000</v>
      </c>
      <c r="E9" s="44">
        <f t="shared" si="0"/>
        <v>16.850000000000001</v>
      </c>
      <c r="F9" s="45">
        <f>IFERROR(VESBE!N8,"")</f>
        <v>172</v>
      </c>
      <c r="G9" s="45">
        <f>IFERROR(VESBE!U6,"")</f>
        <v>17441.857399999997</v>
      </c>
      <c r="H9" s="45">
        <f>VESBE!U8</f>
        <v>35.157400000000003</v>
      </c>
      <c r="I9" s="46">
        <f>IFERROR(VESBE!U4,"")</f>
        <v>19731.350000000002</v>
      </c>
      <c r="J9" s="47">
        <f>IFERROR(VESBE!N10,"")</f>
        <v>0.13126426546750722</v>
      </c>
      <c r="K9" s="47">
        <f>IFERROR(VESBE!F10,"")</f>
        <v>-5.1000000000000004E-3</v>
      </c>
      <c r="L9" s="53">
        <f>IFERROR(VESBE!U10,"")</f>
        <v>2289.492600000005</v>
      </c>
      <c r="N9" s="173"/>
      <c r="O9" s="174"/>
      <c r="P9" s="174"/>
      <c r="Q9" s="174"/>
      <c r="R9" s="183"/>
      <c r="S9" s="184"/>
      <c r="T9" s="184"/>
      <c r="U9" s="185"/>
    </row>
    <row r="10" spans="1:21" ht="20.100000000000001" customHeight="1" x14ac:dyDescent="0.25">
      <c r="A10" s="49">
        <v>8</v>
      </c>
      <c r="B10" s="49" t="str">
        <f>Hisse8!$C$1</f>
        <v>Hisse8</v>
      </c>
      <c r="C10" s="50">
        <f>Hisse8!$F$4</f>
        <v>0</v>
      </c>
      <c r="D10" s="50">
        <f>Hisse8!$F$6</f>
        <v>0</v>
      </c>
      <c r="E10" s="51" t="str">
        <f t="shared" si="0"/>
        <v/>
      </c>
      <c r="F10" s="52">
        <f>IFERROR(Hisse8!N8,"")</f>
        <v>0</v>
      </c>
      <c r="G10" s="52">
        <f>IFERROR(Hisse8!U6,"")</f>
        <v>0</v>
      </c>
      <c r="H10" s="52">
        <f>Hisse8!U8</f>
        <v>0</v>
      </c>
      <c r="I10" s="53" t="str">
        <f>IFERROR(Hisse8!U4,"")</f>
        <v/>
      </c>
      <c r="J10" s="54" t="str">
        <f>IFERROR(Hisse8!N10/100,"")</f>
        <v/>
      </c>
      <c r="K10" s="54"/>
      <c r="L10" s="53" t="str">
        <f>IFERROR(Hisse8!U10,"")</f>
        <v/>
      </c>
      <c r="N10" s="164" t="s">
        <v>756</v>
      </c>
      <c r="O10" s="166">
        <f>SUM(F2:F23)</f>
        <v>1846</v>
      </c>
      <c r="P10" s="175"/>
      <c r="Q10" s="176"/>
      <c r="R10" s="183"/>
      <c r="S10" s="184"/>
      <c r="T10" s="184"/>
      <c r="U10" s="185"/>
    </row>
    <row r="11" spans="1:21" ht="20.100000000000001" customHeight="1" x14ac:dyDescent="0.25">
      <c r="A11" s="42">
        <v>9</v>
      </c>
      <c r="B11" s="42" t="str">
        <f>Hisse9!$C$1</f>
        <v>Hisse9</v>
      </c>
      <c r="C11" s="43">
        <f>Hisse9!$F$4</f>
        <v>0</v>
      </c>
      <c r="D11" s="43">
        <f>Hisse9!$F$6</f>
        <v>0</v>
      </c>
      <c r="E11" s="44" t="str">
        <f t="shared" si="0"/>
        <v/>
      </c>
      <c r="F11" s="45">
        <f>IFERROR(Hisse9!N8,"")</f>
        <v>0</v>
      </c>
      <c r="G11" s="45">
        <f>IFERROR(Hisse9!U6,"")</f>
        <v>0</v>
      </c>
      <c r="H11" s="45">
        <f>Hisse9!U8</f>
        <v>0</v>
      </c>
      <c r="I11" s="46" t="str">
        <f>IFERROR(Hisse9!U4,"")</f>
        <v/>
      </c>
      <c r="J11" s="56" t="str">
        <f>IFERROR(Hisse9!N10/100,"")</f>
        <v/>
      </c>
      <c r="K11" s="56"/>
      <c r="L11" s="53" t="str">
        <f>IFERROR(Hisse9!U10,"")</f>
        <v/>
      </c>
      <c r="N11" s="165"/>
      <c r="O11" s="177"/>
      <c r="P11" s="178"/>
      <c r="Q11" s="179"/>
      <c r="R11" s="183"/>
      <c r="S11" s="184"/>
      <c r="T11" s="184"/>
      <c r="U11" s="185"/>
    </row>
    <row r="12" spans="1:21" ht="20.100000000000001" customHeight="1" x14ac:dyDescent="0.25">
      <c r="A12" s="49">
        <v>10</v>
      </c>
      <c r="B12" s="49" t="str">
        <f>Hisse10!$C$1</f>
        <v>Hisse10</v>
      </c>
      <c r="C12" s="50">
        <f>Hisse10!$F$4</f>
        <v>0</v>
      </c>
      <c r="D12" s="50">
        <f>Hisse10!$F$6</f>
        <v>0</v>
      </c>
      <c r="E12" s="51" t="str">
        <f t="shared" si="0"/>
        <v/>
      </c>
      <c r="F12" s="52">
        <f>IFERROR(Hisse10!N8,"")</f>
        <v>0</v>
      </c>
      <c r="G12" s="52">
        <f>IFERROR(Hisse10!U6,"")</f>
        <v>0</v>
      </c>
      <c r="H12" s="52">
        <f>Hisse10!U8</f>
        <v>0</v>
      </c>
      <c r="I12" s="53" t="str">
        <f>IFERROR(Hisse10!U4,"")</f>
        <v/>
      </c>
      <c r="J12" s="54" t="str">
        <f>IFERROR(Hisse10!N10/100,"")</f>
        <v/>
      </c>
      <c r="K12" s="54"/>
      <c r="L12" s="53" t="str">
        <f>IFERROR(Hisse10!U10,"")</f>
        <v/>
      </c>
      <c r="N12" s="152" t="s">
        <v>725</v>
      </c>
      <c r="O12" s="154">
        <f>O6/O4</f>
        <v>0.25851157157760224</v>
      </c>
      <c r="P12" s="155"/>
      <c r="Q12" s="156"/>
      <c r="R12" s="183"/>
      <c r="S12" s="184"/>
      <c r="T12" s="184"/>
      <c r="U12" s="185"/>
    </row>
    <row r="13" spans="1:21" ht="20.100000000000001" customHeight="1" x14ac:dyDescent="0.25">
      <c r="A13" s="42">
        <v>11</v>
      </c>
      <c r="B13" s="42" t="str">
        <f>Hisse11!$C$1</f>
        <v>Hisse11</v>
      </c>
      <c r="C13" s="43">
        <f>Hisse11!$F$4</f>
        <v>0</v>
      </c>
      <c r="D13" s="43">
        <f>Hisse11!$F$6</f>
        <v>0</v>
      </c>
      <c r="E13" s="44" t="str">
        <f t="shared" si="0"/>
        <v/>
      </c>
      <c r="F13" s="45">
        <f>IFERROR(Hisse11!N8,"")</f>
        <v>0</v>
      </c>
      <c r="G13" s="45">
        <f>IFERROR(Hisse11!U6,"")</f>
        <v>0</v>
      </c>
      <c r="H13" s="45">
        <f>Hisse11!U8</f>
        <v>0</v>
      </c>
      <c r="I13" s="46" t="str">
        <f>IFERROR(Hisse11!U4,"")</f>
        <v/>
      </c>
      <c r="J13" s="56" t="str">
        <f>IFERROR(Hisse11!N10/100,"")</f>
        <v/>
      </c>
      <c r="K13" s="56"/>
      <c r="L13" s="53" t="str">
        <f>IFERROR(Hisse11!U10,"")</f>
        <v/>
      </c>
      <c r="N13" s="153"/>
      <c r="O13" s="157"/>
      <c r="P13" s="158"/>
      <c r="Q13" s="159"/>
      <c r="R13" s="183"/>
      <c r="S13" s="184"/>
      <c r="T13" s="184"/>
      <c r="U13" s="185"/>
    </row>
    <row r="14" spans="1:21" ht="20.100000000000001" customHeight="1" x14ac:dyDescent="0.25">
      <c r="A14" s="49">
        <v>12</v>
      </c>
      <c r="B14" s="49" t="str">
        <f>Hisse12!$C$1</f>
        <v>Hisse12</v>
      </c>
      <c r="C14" s="50">
        <f>Hisse12!$F$4</f>
        <v>0</v>
      </c>
      <c r="D14" s="50">
        <f>Hisse12!$F$6</f>
        <v>0</v>
      </c>
      <c r="E14" s="51" t="str">
        <f t="shared" si="0"/>
        <v/>
      </c>
      <c r="F14" s="52">
        <f>IFERROR(Hisse12!N8,"")</f>
        <v>0</v>
      </c>
      <c r="G14" s="52">
        <f>IFERROR(Hisse12!U6,"")</f>
        <v>0</v>
      </c>
      <c r="H14" s="52">
        <f>Hisse12!U8</f>
        <v>0</v>
      </c>
      <c r="I14" s="53" t="str">
        <f>IFERROR(Hisse12!U4,"")</f>
        <v/>
      </c>
      <c r="J14" s="54" t="str">
        <f>IFERROR(Hisse12!N10/100,"")</f>
        <v/>
      </c>
      <c r="K14" s="54"/>
      <c r="L14" s="53" t="str">
        <f>IFERROR(Hisse12!U10,"")</f>
        <v/>
      </c>
      <c r="N14" s="164" t="s">
        <v>775</v>
      </c>
      <c r="O14" s="166">
        <f>SUM(H3:H17)</f>
        <v>246.11474000000001</v>
      </c>
      <c r="P14" s="167"/>
      <c r="Q14" s="168"/>
      <c r="R14" s="183"/>
      <c r="S14" s="184"/>
      <c r="T14" s="184"/>
      <c r="U14" s="185"/>
    </row>
    <row r="15" spans="1:21" ht="20.100000000000001" customHeight="1" x14ac:dyDescent="0.25">
      <c r="A15" s="42">
        <v>13</v>
      </c>
      <c r="B15" s="42" t="str">
        <f>Hisse13!$C$1</f>
        <v>Hisse13</v>
      </c>
      <c r="C15" s="43">
        <f>Hisse13!$F$4</f>
        <v>0</v>
      </c>
      <c r="D15" s="43">
        <f>Hisse13!$F$6</f>
        <v>0</v>
      </c>
      <c r="E15" s="44" t="str">
        <f t="shared" si="0"/>
        <v/>
      </c>
      <c r="F15" s="45">
        <f>IFERROR(Hisse13!N8,"")</f>
        <v>0</v>
      </c>
      <c r="G15" s="45">
        <f>IFERROR(Hisse13!U6,"")</f>
        <v>0</v>
      </c>
      <c r="H15" s="45">
        <f>Hisse13!U8</f>
        <v>0</v>
      </c>
      <c r="I15" s="46" t="str">
        <f>IFERROR(Hisse13!U4,"")</f>
        <v/>
      </c>
      <c r="J15" s="56" t="str">
        <f>IFERROR(Hisse13!N10/100,"")</f>
        <v/>
      </c>
      <c r="K15" s="56"/>
      <c r="L15" s="53" t="str">
        <f>IFERROR(Hisse13!U10,"")</f>
        <v/>
      </c>
      <c r="N15" s="165"/>
      <c r="O15" s="169"/>
      <c r="P15" s="170"/>
      <c r="Q15" s="171"/>
      <c r="R15" s="183"/>
      <c r="S15" s="184"/>
      <c r="T15" s="184"/>
      <c r="U15" s="185"/>
    </row>
    <row r="16" spans="1:21" ht="20.100000000000001" customHeight="1" x14ac:dyDescent="0.25">
      <c r="A16" s="49">
        <v>14</v>
      </c>
      <c r="B16" s="49" t="str">
        <f>Hisse14!$C$1</f>
        <v>Hisse14</v>
      </c>
      <c r="C16" s="50">
        <f>Hisse14!$F$4</f>
        <v>0</v>
      </c>
      <c r="D16" s="50">
        <f>Hisse14!$F$6</f>
        <v>0</v>
      </c>
      <c r="E16" s="51" t="str">
        <f t="shared" si="0"/>
        <v/>
      </c>
      <c r="F16" s="52">
        <f>IFERROR(Hisse14!N8,"")</f>
        <v>0</v>
      </c>
      <c r="G16" s="52">
        <f>IFERROR(Hisse14!U6,"")</f>
        <v>0</v>
      </c>
      <c r="H16" s="52">
        <f>Hisse14!U8</f>
        <v>0</v>
      </c>
      <c r="I16" s="53" t="str">
        <f>IFERROR(Hisse14!U4,"")</f>
        <v/>
      </c>
      <c r="J16" s="54" t="str">
        <f>IFERROR(Hisse14!N10/100,"")</f>
        <v/>
      </c>
      <c r="K16" s="54"/>
      <c r="L16" s="53" t="str">
        <f>IFERROR(Hisse14!U10,"")</f>
        <v/>
      </c>
      <c r="N16" s="77"/>
      <c r="O16" s="77"/>
      <c r="P16" s="77"/>
      <c r="Q16" s="78"/>
      <c r="R16" s="183"/>
      <c r="S16" s="184"/>
      <c r="T16" s="184"/>
      <c r="U16" s="185"/>
    </row>
    <row r="17" spans="1:21" ht="19.5" customHeight="1" x14ac:dyDescent="0.25">
      <c r="A17" s="42">
        <v>15</v>
      </c>
      <c r="B17" s="42" t="str">
        <f>Hisse15!$C$1</f>
        <v>Hisse15</v>
      </c>
      <c r="C17" s="43">
        <f>Hisse15!$F$4</f>
        <v>0</v>
      </c>
      <c r="D17" s="43">
        <f>Hisse15!$F$6</f>
        <v>0</v>
      </c>
      <c r="E17" s="57" t="str">
        <f t="shared" si="0"/>
        <v/>
      </c>
      <c r="F17" s="45">
        <f>IFERROR(Hisse15!N8,"")</f>
        <v>0</v>
      </c>
      <c r="G17" s="45">
        <f>IFERROR(Hisse15!U6,"")</f>
        <v>0</v>
      </c>
      <c r="H17" s="45">
        <f>Hisse15!U8</f>
        <v>0</v>
      </c>
      <c r="I17" s="46" t="str">
        <f>IFERROR(Hisse15!U4,"")</f>
        <v/>
      </c>
      <c r="J17" s="56" t="str">
        <f>IFERROR(Hisse15!N10/100,"")</f>
        <v/>
      </c>
      <c r="K17" s="56"/>
      <c r="L17" s="53" t="str">
        <f>IFERROR(Hisse15!U10,"")</f>
        <v/>
      </c>
      <c r="N17" s="80"/>
      <c r="O17" s="80"/>
      <c r="P17" s="80"/>
      <c r="Q17" s="81"/>
      <c r="R17" s="183"/>
      <c r="S17" s="184"/>
      <c r="T17" s="184"/>
      <c r="U17" s="185"/>
    </row>
    <row r="18" spans="1:21" ht="33.75" customHeight="1" x14ac:dyDescent="0.25">
      <c r="A18" s="76"/>
      <c r="B18" s="77"/>
      <c r="C18" s="77"/>
      <c r="D18" s="77"/>
      <c r="E18" s="77"/>
      <c r="F18" s="77"/>
      <c r="G18" s="77"/>
      <c r="H18" s="77"/>
      <c r="I18" s="77"/>
      <c r="J18" s="77"/>
      <c r="K18" s="77"/>
      <c r="L18" s="77"/>
      <c r="M18" s="77"/>
      <c r="N18" s="80"/>
      <c r="O18" s="80"/>
      <c r="P18" s="80"/>
      <c r="Q18" s="81"/>
      <c r="R18" s="183"/>
      <c r="S18" s="184"/>
      <c r="T18" s="184"/>
      <c r="U18" s="185"/>
    </row>
    <row r="19" spans="1:21" ht="33.75" customHeight="1" x14ac:dyDescent="0.25">
      <c r="A19" s="79"/>
      <c r="B19" s="80"/>
      <c r="C19" s="80"/>
      <c r="D19" s="80"/>
      <c r="E19" s="80"/>
      <c r="F19" s="80"/>
      <c r="G19" s="80"/>
      <c r="H19" s="80"/>
      <c r="I19" s="80"/>
      <c r="J19" s="80"/>
      <c r="K19" s="80"/>
      <c r="L19" s="80"/>
      <c r="M19" s="80"/>
      <c r="N19" s="80"/>
      <c r="O19" s="80"/>
      <c r="P19" s="80"/>
      <c r="Q19" s="81"/>
      <c r="R19" s="183"/>
      <c r="S19" s="184"/>
      <c r="T19" s="184"/>
      <c r="U19" s="185"/>
    </row>
    <row r="20" spans="1:21" ht="33.75" customHeight="1" x14ac:dyDescent="0.25">
      <c r="A20" s="79"/>
      <c r="B20" s="80"/>
      <c r="C20" s="80"/>
      <c r="D20" s="80"/>
      <c r="E20" s="80"/>
      <c r="F20" s="80"/>
      <c r="G20" s="80"/>
      <c r="H20" s="80"/>
      <c r="I20" s="80"/>
      <c r="J20" s="80"/>
      <c r="K20" s="80"/>
      <c r="L20" s="80"/>
      <c r="M20" s="80"/>
      <c r="N20" s="80"/>
      <c r="O20" s="80"/>
      <c r="P20" s="80"/>
      <c r="Q20" s="81"/>
      <c r="R20" s="183"/>
      <c r="S20" s="184"/>
      <c r="T20" s="184"/>
      <c r="U20" s="185"/>
    </row>
    <row r="21" spans="1:21" ht="33.75" customHeight="1" x14ac:dyDescent="0.25">
      <c r="A21" s="79"/>
      <c r="B21" s="80"/>
      <c r="C21" s="80"/>
      <c r="D21" s="80"/>
      <c r="E21" s="80"/>
      <c r="F21" s="80"/>
      <c r="G21" s="80"/>
      <c r="H21" s="80"/>
      <c r="I21" s="80"/>
      <c r="J21" s="80"/>
      <c r="K21" s="80"/>
      <c r="L21" s="80"/>
      <c r="M21" s="80"/>
      <c r="N21" s="80"/>
      <c r="O21" s="80"/>
      <c r="P21" s="80"/>
      <c r="Q21" s="81"/>
      <c r="R21" s="183"/>
      <c r="S21" s="184"/>
      <c r="T21" s="184"/>
      <c r="U21" s="185"/>
    </row>
    <row r="22" spans="1:21" ht="33.75" customHeight="1" x14ac:dyDescent="0.25">
      <c r="A22" s="79"/>
      <c r="B22" s="80"/>
      <c r="C22" s="80"/>
      <c r="D22" s="80"/>
      <c r="E22" s="80"/>
      <c r="F22" s="80"/>
      <c r="G22" s="80"/>
      <c r="H22" s="80"/>
      <c r="I22" s="80"/>
      <c r="J22" s="80"/>
      <c r="K22" s="80"/>
      <c r="L22" s="80"/>
      <c r="M22" s="80"/>
      <c r="N22" s="80"/>
      <c r="O22" s="80"/>
      <c r="P22" s="80"/>
      <c r="Q22" s="81"/>
      <c r="R22" s="186"/>
      <c r="S22" s="187"/>
      <c r="T22" s="187"/>
      <c r="U22" s="188"/>
    </row>
    <row r="23" spans="1:21" ht="33.75" customHeight="1" x14ac:dyDescent="0.25">
      <c r="A23" s="79"/>
      <c r="B23" s="80"/>
      <c r="C23" s="80"/>
      <c r="D23" s="80"/>
      <c r="E23" s="80"/>
      <c r="F23" s="80"/>
      <c r="G23" s="80"/>
      <c r="H23" s="80"/>
      <c r="I23" s="80"/>
      <c r="J23" s="80"/>
      <c r="K23" s="80"/>
      <c r="L23" s="80"/>
      <c r="M23" s="80"/>
      <c r="N23" s="180"/>
      <c r="O23" s="181"/>
      <c r="P23" s="181"/>
      <c r="Q23" s="181"/>
      <c r="R23" s="181"/>
      <c r="S23" s="181"/>
      <c r="T23" s="181"/>
      <c r="U23" s="182"/>
    </row>
    <row r="24" spans="1:21" ht="33.75" customHeight="1" x14ac:dyDescent="0.25">
      <c r="A24" s="79"/>
      <c r="B24" s="80"/>
      <c r="C24" s="80"/>
      <c r="D24" s="80"/>
      <c r="E24" s="80"/>
      <c r="F24" s="80"/>
      <c r="G24" s="80"/>
      <c r="H24" s="80"/>
      <c r="I24" s="80"/>
      <c r="J24" s="80"/>
      <c r="K24" s="80"/>
      <c r="L24" s="80"/>
      <c r="M24" s="80"/>
      <c r="N24" s="183"/>
      <c r="O24" s="184"/>
      <c r="P24" s="184"/>
      <c r="Q24" s="184"/>
      <c r="R24" s="184"/>
      <c r="S24" s="184"/>
      <c r="T24" s="184"/>
      <c r="U24" s="185"/>
    </row>
    <row r="25" spans="1:21" ht="33.75" customHeight="1" x14ac:dyDescent="0.25">
      <c r="A25" s="79"/>
      <c r="B25" s="80"/>
      <c r="C25" s="80"/>
      <c r="D25" s="80"/>
      <c r="E25" s="80"/>
      <c r="F25" s="80"/>
      <c r="G25" s="80"/>
      <c r="H25" s="80"/>
      <c r="I25" s="80"/>
      <c r="J25" s="80"/>
      <c r="K25" s="80"/>
      <c r="L25" s="80"/>
      <c r="M25" s="80"/>
      <c r="N25" s="183"/>
      <c r="O25" s="184"/>
      <c r="P25" s="184"/>
      <c r="Q25" s="184"/>
      <c r="R25" s="184"/>
      <c r="S25" s="184"/>
      <c r="T25" s="184"/>
      <c r="U25" s="185"/>
    </row>
    <row r="26" spans="1:21" ht="33.75" customHeight="1" x14ac:dyDescent="0.25">
      <c r="A26" s="79"/>
      <c r="B26" s="80"/>
      <c r="C26" s="80"/>
      <c r="D26" s="80"/>
      <c r="E26" s="80"/>
      <c r="F26" s="80"/>
      <c r="G26" s="80"/>
      <c r="H26" s="80"/>
      <c r="I26" s="80"/>
      <c r="J26" s="80"/>
      <c r="K26" s="80"/>
      <c r="L26" s="80"/>
      <c r="M26" s="80"/>
      <c r="N26" s="183"/>
      <c r="O26" s="184"/>
      <c r="P26" s="184"/>
      <c r="Q26" s="184"/>
      <c r="R26" s="184"/>
      <c r="S26" s="184"/>
      <c r="T26" s="184"/>
      <c r="U26" s="185"/>
    </row>
    <row r="27" spans="1:21" ht="33.75" customHeight="1" x14ac:dyDescent="0.25">
      <c r="A27" s="79"/>
      <c r="B27" s="80"/>
      <c r="C27" s="80"/>
      <c r="D27" s="80"/>
      <c r="E27" s="80"/>
      <c r="F27" s="80"/>
      <c r="G27" s="80"/>
      <c r="H27" s="80"/>
      <c r="I27" s="80"/>
      <c r="J27" s="80"/>
      <c r="K27" s="80"/>
      <c r="L27" s="80"/>
      <c r="M27" s="80"/>
      <c r="N27" s="183"/>
      <c r="O27" s="184"/>
      <c r="P27" s="184"/>
      <c r="Q27" s="184"/>
      <c r="R27" s="184"/>
      <c r="S27" s="184"/>
      <c r="T27" s="184"/>
      <c r="U27" s="185"/>
    </row>
    <row r="28" spans="1:21" ht="33.75" customHeight="1" x14ac:dyDescent="0.25">
      <c r="A28" s="79"/>
      <c r="B28" s="80"/>
      <c r="C28" s="80"/>
      <c r="D28" s="80"/>
      <c r="E28" s="80"/>
      <c r="F28" s="80"/>
      <c r="G28" s="80"/>
      <c r="H28" s="80"/>
      <c r="I28" s="80"/>
      <c r="J28" s="80"/>
      <c r="K28" s="80"/>
      <c r="L28" s="80"/>
      <c r="M28" s="80"/>
      <c r="N28" s="183"/>
      <c r="O28" s="184"/>
      <c r="P28" s="184"/>
      <c r="Q28" s="184"/>
      <c r="R28" s="184"/>
      <c r="S28" s="184"/>
      <c r="T28" s="184"/>
      <c r="U28" s="185"/>
    </row>
    <row r="29" spans="1:21" ht="33.75" customHeight="1" x14ac:dyDescent="0.25">
      <c r="A29" s="79"/>
      <c r="B29" s="80"/>
      <c r="C29" s="80"/>
      <c r="D29" s="80"/>
      <c r="E29" s="80"/>
      <c r="F29" s="80"/>
      <c r="G29" s="80"/>
      <c r="H29" s="80"/>
      <c r="I29" s="80"/>
      <c r="J29" s="80"/>
      <c r="K29" s="80"/>
      <c r="L29" s="80"/>
      <c r="M29" s="80"/>
      <c r="N29" s="183"/>
      <c r="O29" s="184"/>
      <c r="P29" s="184"/>
      <c r="Q29" s="184"/>
      <c r="R29" s="184"/>
      <c r="S29" s="184"/>
      <c r="T29" s="184"/>
      <c r="U29" s="185"/>
    </row>
    <row r="30" spans="1:21" ht="33.75" customHeight="1" x14ac:dyDescent="0.25">
      <c r="A30" s="79"/>
      <c r="B30" s="80"/>
      <c r="C30" s="80"/>
      <c r="D30" s="80"/>
      <c r="E30" s="80"/>
      <c r="F30" s="80"/>
      <c r="G30" s="80"/>
      <c r="H30" s="80"/>
      <c r="I30" s="80"/>
      <c r="J30" s="80"/>
      <c r="K30" s="80"/>
      <c r="L30" s="80"/>
      <c r="M30" s="80"/>
      <c r="N30" s="183"/>
      <c r="O30" s="184"/>
      <c r="P30" s="184"/>
      <c r="Q30" s="184"/>
      <c r="R30" s="184"/>
      <c r="S30" s="184"/>
      <c r="T30" s="184"/>
      <c r="U30" s="185"/>
    </row>
    <row r="31" spans="1:21" ht="33.75" customHeight="1" x14ac:dyDescent="0.25">
      <c r="A31" s="79"/>
      <c r="B31" s="80"/>
      <c r="C31" s="80"/>
      <c r="D31" s="80"/>
      <c r="E31" s="80"/>
      <c r="F31" s="80"/>
      <c r="G31" s="80"/>
      <c r="H31" s="80"/>
      <c r="I31" s="80"/>
      <c r="J31" s="80"/>
      <c r="K31" s="80"/>
      <c r="L31" s="80"/>
      <c r="M31" s="80"/>
      <c r="N31" s="183"/>
      <c r="O31" s="184"/>
      <c r="P31" s="184"/>
      <c r="Q31" s="184"/>
      <c r="R31" s="184"/>
      <c r="S31" s="184"/>
      <c r="T31" s="184"/>
      <c r="U31" s="185"/>
    </row>
    <row r="32" spans="1:21" ht="33.75" customHeight="1" x14ac:dyDescent="0.25">
      <c r="A32" s="82"/>
      <c r="B32" s="83"/>
      <c r="C32" s="83"/>
      <c r="D32" s="83"/>
      <c r="E32" s="83"/>
      <c r="F32" s="83"/>
      <c r="G32" s="83"/>
      <c r="H32" s="83"/>
      <c r="I32" s="83"/>
      <c r="J32" s="83"/>
      <c r="K32" s="83"/>
      <c r="L32" s="83"/>
      <c r="M32" s="83"/>
      <c r="N32" s="183"/>
      <c r="O32" s="184"/>
      <c r="P32" s="184"/>
      <c r="Q32" s="184"/>
      <c r="R32" s="184"/>
      <c r="S32" s="184"/>
      <c r="T32" s="184"/>
      <c r="U32" s="185"/>
    </row>
    <row r="127" spans="2:6" x14ac:dyDescent="0.25">
      <c r="B127" s="58"/>
      <c r="C127" s="58"/>
      <c r="D127" s="58"/>
      <c r="E127" s="58"/>
      <c r="F127" s="58"/>
    </row>
    <row r="128" spans="2:6" x14ac:dyDescent="0.25">
      <c r="B128" s="58"/>
      <c r="C128" s="58"/>
      <c r="D128" s="58"/>
      <c r="E128" s="58"/>
      <c r="F128" s="58"/>
    </row>
    <row r="129" spans="2:6" x14ac:dyDescent="0.25">
      <c r="B129" s="58">
        <f>(SUM(C3:C17)*100)/(SUM(D3:D17))</f>
        <v>12.863492063492064</v>
      </c>
      <c r="C129" s="58" t="e">
        <f>(B129+B130)/2</f>
        <v>#DIV/0!</v>
      </c>
      <c r="D129" s="58"/>
      <c r="E129" s="58"/>
      <c r="F129" s="58"/>
    </row>
    <row r="130" spans="2:6" x14ac:dyDescent="0.25">
      <c r="B130" s="58" t="e">
        <f>Altın!F4*100/Altın!F6</f>
        <v>#DIV/0!</v>
      </c>
      <c r="C130" s="58"/>
      <c r="D130" s="58"/>
      <c r="E130" s="58"/>
      <c r="F130" s="58"/>
    </row>
    <row r="131" spans="2:6" x14ac:dyDescent="0.25">
      <c r="B131" s="58"/>
      <c r="C131" s="58"/>
      <c r="D131" s="58"/>
      <c r="E131" s="58"/>
      <c r="F131" s="58"/>
    </row>
  </sheetData>
  <mergeCells count="17">
    <mergeCell ref="N23:U32"/>
    <mergeCell ref="R1:U22"/>
    <mergeCell ref="N12:N13"/>
    <mergeCell ref="O12:Q13"/>
    <mergeCell ref="N14:N15"/>
    <mergeCell ref="O14:Q15"/>
    <mergeCell ref="N8:N9"/>
    <mergeCell ref="O8:Q9"/>
    <mergeCell ref="N10:N11"/>
    <mergeCell ref="O10:Q11"/>
    <mergeCell ref="N6:N7"/>
    <mergeCell ref="O6:Q7"/>
    <mergeCell ref="A1:Q1"/>
    <mergeCell ref="N2:N3"/>
    <mergeCell ref="O2:Q3"/>
    <mergeCell ref="N4:N5"/>
    <mergeCell ref="O4:Q5"/>
  </mergeCells>
  <conditionalFormatting sqref="E3:E17">
    <cfRule type="dataBar" priority="7">
      <dataBar showValue="0">
        <cfvo type="num" val="0"/>
        <cfvo type="num" val="100"/>
        <color theme="7"/>
      </dataBar>
      <extLst>
        <ext xmlns:x14="http://schemas.microsoft.com/office/spreadsheetml/2009/9/main" uri="{B025F937-C7B1-47D3-B67F-A62EFF666E3E}">
          <x14:id>{7C3861CD-BA7B-4D5E-8AF1-E2AB43F95C11}</x14:id>
        </ext>
      </extLst>
    </cfRule>
  </conditionalFormatting>
  <conditionalFormatting sqref="J10:K17 J3:J9">
    <cfRule type="cellIs" dxfId="71" priority="3" operator="greaterThan">
      <formula>0</formula>
    </cfRule>
    <cfRule type="cellIs" dxfId="70" priority="4" operator="lessThan">
      <formula>0</formula>
    </cfRule>
  </conditionalFormatting>
  <conditionalFormatting sqref="L3:L17">
    <cfRule type="cellIs" dxfId="69" priority="12" operator="greaterThan">
      <formula>0</formula>
    </cfRule>
    <cfRule type="cellIs" dxfId="68" priority="13" operator="lessThan">
      <formula>0</formula>
    </cfRule>
  </conditionalFormatting>
  <conditionalFormatting sqref="C4">
    <cfRule type="cellIs" dxfId="67" priority="11" operator="lessThan">
      <formula>1</formula>
    </cfRule>
  </conditionalFormatting>
  <conditionalFormatting sqref="C3">
    <cfRule type="cellIs" dxfId="66" priority="10" operator="lessThan">
      <formula>1</formula>
    </cfRule>
  </conditionalFormatting>
  <conditionalFormatting sqref="C6 C8 C10 C12 C14 C16">
    <cfRule type="cellIs" dxfId="65" priority="9" operator="lessThan">
      <formula>1</formula>
    </cfRule>
  </conditionalFormatting>
  <conditionalFormatting sqref="C5 C7 C9 C11 C13 C15 C17">
    <cfRule type="cellIs" dxfId="64" priority="8" operator="lessThan">
      <formula>1</formula>
    </cfRule>
  </conditionalFormatting>
  <conditionalFormatting sqref="K3:K9">
    <cfRule type="cellIs" dxfId="63" priority="1" operator="greaterThan">
      <formula>0</formula>
    </cfRule>
    <cfRule type="cellIs" dxfId="62" priority="2" operator="lessThan">
      <formula>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C3861CD-BA7B-4D5E-8AF1-E2AB43F95C11}">
            <x14:dataBar minLength="0" maxLength="100" gradient="0">
              <x14:cfvo type="num">
                <xm:f>0</xm:f>
              </x14:cfvo>
              <x14:cfvo type="num">
                <xm:f>100</xm:f>
              </x14:cfvo>
              <x14:negativeFillColor rgb="FFFF0000"/>
              <x14:axisColor rgb="FF000000"/>
            </x14:dataBar>
          </x14:cfRule>
          <xm:sqref>E3:E17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2"/>
  <dimension ref="A1:O23"/>
  <sheetViews>
    <sheetView zoomScale="85" zoomScaleNormal="85" workbookViewId="0">
      <selection activeCell="F5" sqref="F5"/>
    </sheetView>
  </sheetViews>
  <sheetFormatPr defaultRowHeight="15" x14ac:dyDescent="0.25"/>
  <cols>
    <col min="1" max="1" width="25.140625" customWidth="1"/>
    <col min="2" max="2" width="19.140625" customWidth="1"/>
    <col min="4" max="4" width="11.140625" customWidth="1"/>
    <col min="5" max="5" width="13.42578125" customWidth="1"/>
    <col min="6" max="15" width="16.85546875" customWidth="1"/>
  </cols>
  <sheetData>
    <row r="1" spans="1:15" ht="35.25" customHeight="1" x14ac:dyDescent="0.25">
      <c r="A1" s="20" t="s">
        <v>727</v>
      </c>
      <c r="B1" s="20" t="s">
        <v>802</v>
      </c>
      <c r="D1" s="189" t="s">
        <v>801</v>
      </c>
      <c r="E1" s="189"/>
      <c r="F1" s="189"/>
      <c r="G1" s="189"/>
      <c r="H1" s="189"/>
      <c r="I1" s="189"/>
      <c r="J1" s="189"/>
      <c r="K1" s="189"/>
      <c r="L1" s="189"/>
      <c r="M1" s="189"/>
      <c r="N1" s="189"/>
      <c r="O1" s="189"/>
    </row>
    <row r="2" spans="1:15" ht="21" customHeight="1" x14ac:dyDescent="0.25">
      <c r="A2" s="20" t="s">
        <v>728</v>
      </c>
      <c r="B2" s="27">
        <v>44652</v>
      </c>
      <c r="D2" s="74" t="s">
        <v>799</v>
      </c>
      <c r="E2" s="74">
        <v>2022</v>
      </c>
      <c r="F2" s="19">
        <v>2023</v>
      </c>
      <c r="G2" s="74">
        <v>2024</v>
      </c>
      <c r="H2" s="19">
        <v>2025</v>
      </c>
      <c r="I2" s="74">
        <v>2026</v>
      </c>
      <c r="J2" s="19">
        <v>2027</v>
      </c>
      <c r="K2" s="74">
        <v>2028</v>
      </c>
      <c r="L2" s="19">
        <v>2029</v>
      </c>
      <c r="M2" s="74">
        <v>2030</v>
      </c>
      <c r="N2" s="19">
        <v>2031</v>
      </c>
      <c r="O2" s="74">
        <v>2032</v>
      </c>
    </row>
    <row r="3" spans="1:15" ht="20.25" customHeight="1" x14ac:dyDescent="0.25">
      <c r="A3" s="20" t="s">
        <v>729</v>
      </c>
      <c r="B3" s="27">
        <v>49310</v>
      </c>
      <c r="D3" s="74" t="s">
        <v>787</v>
      </c>
      <c r="E3" s="74"/>
      <c r="F3" s="85">
        <f>AKSA!J30 + ALKIM!J30 + EREĞLİ!J30 + ISDMR!J30 + SASA!J30 + TTRAK!J30 + VESBE!J30</f>
        <v>28156.610819999998</v>
      </c>
      <c r="G3" s="75"/>
      <c r="H3" s="73"/>
      <c r="I3" s="75"/>
      <c r="J3" s="73"/>
      <c r="K3" s="75"/>
      <c r="L3" s="73"/>
      <c r="M3" s="75"/>
      <c r="N3" s="73"/>
      <c r="O3" s="75"/>
    </row>
    <row r="4" spans="1:15" ht="20.25" customHeight="1" x14ac:dyDescent="0.25">
      <c r="A4" s="20" t="s">
        <v>730</v>
      </c>
      <c r="B4" s="20">
        <v>4000</v>
      </c>
      <c r="D4" s="74" t="s">
        <v>788</v>
      </c>
      <c r="E4" s="74"/>
      <c r="F4" s="85">
        <f>AKSA!J31 + ALKIM!J31 + EREĞLİ!J31 + ISDMR!J31 + SASA!J31 + TTRAK!J31 + VESBE!J32</f>
        <v>11385.44544</v>
      </c>
      <c r="G4" s="75"/>
      <c r="H4" s="73"/>
      <c r="I4" s="75"/>
      <c r="J4" s="73"/>
      <c r="K4" s="75"/>
      <c r="L4" s="73"/>
      <c r="M4" s="75"/>
      <c r="N4" s="73"/>
      <c r="O4" s="75"/>
    </row>
    <row r="5" spans="1:15" ht="20.25" customHeight="1" x14ac:dyDescent="0.25">
      <c r="D5" s="74" t="s">
        <v>789</v>
      </c>
      <c r="E5" s="74"/>
      <c r="F5" s="73"/>
      <c r="G5" s="75"/>
      <c r="H5" s="73"/>
      <c r="I5" s="75"/>
      <c r="J5" s="73"/>
      <c r="K5" s="75"/>
      <c r="L5" s="73"/>
      <c r="M5" s="75"/>
      <c r="N5" s="73"/>
      <c r="O5" s="75"/>
    </row>
    <row r="6" spans="1:15" ht="20.25" customHeight="1" x14ac:dyDescent="0.25">
      <c r="D6" s="74" t="s">
        <v>790</v>
      </c>
      <c r="E6" s="84">
        <f>AKSA!J21 + ALKIM!J21 + EREĞLİ!J21 + ISDMR!J21 + SASA!J21 + TTRAK!J21 + VESBE!J21</f>
        <v>9725.4520800000009</v>
      </c>
      <c r="F6" s="73"/>
      <c r="G6" s="75"/>
      <c r="H6" s="73"/>
      <c r="I6" s="75"/>
      <c r="J6" s="73"/>
      <c r="K6" s="75"/>
      <c r="L6" s="73"/>
      <c r="M6" s="75"/>
      <c r="N6" s="73"/>
      <c r="O6" s="75"/>
    </row>
    <row r="7" spans="1:15" ht="20.25" customHeight="1" x14ac:dyDescent="0.25">
      <c r="D7" s="74" t="s">
        <v>791</v>
      </c>
      <c r="E7" s="84">
        <f>AKSA!J22 + ALKIM!J22 + EREĞLİ!J22 + ISDMR!J22 + SASA!J22 + TTRAK!J22 + VESBE!J22</f>
        <v>7488.8478000000005</v>
      </c>
      <c r="F7" s="73"/>
      <c r="G7" s="75"/>
      <c r="H7" s="73"/>
      <c r="I7" s="75"/>
      <c r="J7" s="73"/>
      <c r="K7" s="75"/>
      <c r="L7" s="73"/>
      <c r="M7" s="75"/>
      <c r="N7" s="73"/>
      <c r="O7" s="75"/>
    </row>
    <row r="8" spans="1:15" ht="20.25" customHeight="1" x14ac:dyDescent="0.25">
      <c r="D8" s="74" t="s">
        <v>792</v>
      </c>
      <c r="E8" s="84">
        <f>AKSA!J23 + ALKIM!J23 + EREĞLİ!J23 + ISDMR!J23 + SASA!J23 + TTRAK!J23 + VESBE!J23</f>
        <v>13001.430959999998</v>
      </c>
      <c r="F8" s="73"/>
      <c r="G8" s="75"/>
      <c r="H8" s="73"/>
      <c r="I8" s="75"/>
      <c r="J8" s="73"/>
      <c r="K8" s="75"/>
      <c r="L8" s="73"/>
      <c r="M8" s="75"/>
      <c r="N8" s="73"/>
      <c r="O8" s="75"/>
    </row>
    <row r="9" spans="1:15" ht="20.25" customHeight="1" x14ac:dyDescent="0.25">
      <c r="D9" s="74" t="s">
        <v>793</v>
      </c>
      <c r="E9" s="84">
        <f>AKSA!J24 + ALKIM!J24 + EREĞLİ!J24 + ISDMR!J24 + SASA!J24 + TTRAK!J24 + VESBE!J24</f>
        <v>5071.7231999999995</v>
      </c>
      <c r="F9" s="73"/>
      <c r="G9" s="75"/>
      <c r="H9" s="73"/>
      <c r="I9" s="75"/>
      <c r="J9" s="73"/>
      <c r="K9" s="75"/>
      <c r="L9" s="73"/>
      <c r="M9" s="75"/>
      <c r="N9" s="73"/>
      <c r="O9" s="75"/>
    </row>
    <row r="10" spans="1:15" ht="20.25" customHeight="1" x14ac:dyDescent="0.25">
      <c r="D10" s="74" t="s">
        <v>794</v>
      </c>
      <c r="E10" s="84">
        <f>AKSA!J25 + ALKIM!J25 + EREĞLİ!J25 + ISDMR!J25 + SASA!J25 + TTRAK!J25 + VESBE!J25</f>
        <v>8225.6684999999998</v>
      </c>
      <c r="F10" s="73"/>
      <c r="G10" s="75"/>
      <c r="H10" s="73"/>
      <c r="I10" s="75"/>
      <c r="J10" s="73"/>
      <c r="K10" s="75"/>
      <c r="L10" s="73"/>
      <c r="M10" s="75"/>
      <c r="N10" s="73"/>
      <c r="O10" s="75"/>
    </row>
    <row r="11" spans="1:15" ht="20.25" customHeight="1" x14ac:dyDescent="0.25">
      <c r="D11" s="74" t="s">
        <v>795</v>
      </c>
      <c r="E11" s="84">
        <f>AKSA!J26 + ALKIM!J26 + EREĞLİ!J26 + ISDMR!J26 + SASA!J26 + TTRAK!J26 + VESBE!J26</f>
        <v>8046.1602000000003</v>
      </c>
      <c r="F11" s="73"/>
      <c r="G11" s="75"/>
      <c r="H11" s="73"/>
      <c r="I11" s="75"/>
      <c r="J11" s="73"/>
      <c r="K11" s="75"/>
      <c r="L11" s="73"/>
      <c r="M11" s="75"/>
      <c r="N11" s="73"/>
      <c r="O11" s="75"/>
    </row>
    <row r="12" spans="1:15" ht="20.25" customHeight="1" x14ac:dyDescent="0.25">
      <c r="D12" s="74" t="s">
        <v>796</v>
      </c>
      <c r="E12" s="84">
        <f>AKSA!J27 + ALKIM!J27 + EREĞLİ!J27 + ISDMR!J27 + SASA!J27 + TTRAK!J27 + VESBE!J27</f>
        <v>8132.232</v>
      </c>
      <c r="F12" s="73"/>
      <c r="G12" s="75"/>
      <c r="H12" s="73"/>
      <c r="I12" s="75"/>
      <c r="J12" s="73"/>
      <c r="K12" s="75"/>
      <c r="L12" s="73"/>
      <c r="M12" s="75"/>
      <c r="N12" s="73"/>
      <c r="O12" s="75"/>
    </row>
    <row r="13" spans="1:15" ht="20.25" customHeight="1" x14ac:dyDescent="0.25">
      <c r="D13" s="74" t="s">
        <v>797</v>
      </c>
      <c r="E13" s="84">
        <f>AKSA!J28 + ALKIM!J28 + EREĞLİ!J28 + ISDMR!J28 + SASA!J28 + TTRAK!J28 + VESBE!J28</f>
        <v>14610.863399999998</v>
      </c>
      <c r="F13" s="73"/>
      <c r="G13" s="75"/>
      <c r="H13" s="73"/>
      <c r="I13" s="75"/>
      <c r="J13" s="73"/>
      <c r="K13" s="75"/>
      <c r="L13" s="73"/>
      <c r="M13" s="75"/>
      <c r="N13" s="73"/>
      <c r="O13" s="75"/>
    </row>
    <row r="14" spans="1:15" ht="20.25" customHeight="1" x14ac:dyDescent="0.25">
      <c r="D14" s="74" t="s">
        <v>798</v>
      </c>
      <c r="E14" s="84">
        <f>AKSA!J29 + ALKIM!J29 + EREĞLİ!J29 + ISDMR!J29 + SASA!J29 + TTRAK!J29 + VESBE!J29</f>
        <v>7609.3583399999989</v>
      </c>
      <c r="F14" s="73"/>
      <c r="G14" s="75"/>
      <c r="H14" s="73"/>
      <c r="I14" s="75"/>
      <c r="J14" s="73"/>
      <c r="K14" s="75"/>
      <c r="L14" s="73"/>
      <c r="M14" s="75"/>
      <c r="N14" s="73"/>
      <c r="O14" s="75"/>
    </row>
    <row r="15" spans="1:15" ht="32.25" customHeight="1" x14ac:dyDescent="0.25">
      <c r="D15" s="74" t="s">
        <v>800</v>
      </c>
      <c r="E15" s="73">
        <f>SUM(E3:E14)</f>
        <v>81911.736479999992</v>
      </c>
      <c r="F15" s="73">
        <f>SUM(F3:F14)</f>
        <v>39542.056259999998</v>
      </c>
      <c r="G15" s="75">
        <f t="shared" ref="G15:O15" si="0">SUM(G3:G14)</f>
        <v>0</v>
      </c>
      <c r="H15" s="73">
        <f t="shared" si="0"/>
        <v>0</v>
      </c>
      <c r="I15" s="75">
        <f t="shared" si="0"/>
        <v>0</v>
      </c>
      <c r="J15" s="73">
        <f t="shared" si="0"/>
        <v>0</v>
      </c>
      <c r="K15" s="75">
        <f t="shared" si="0"/>
        <v>0</v>
      </c>
      <c r="L15" s="73">
        <f t="shared" si="0"/>
        <v>0</v>
      </c>
      <c r="M15" s="75">
        <f t="shared" si="0"/>
        <v>0</v>
      </c>
      <c r="N15" s="73">
        <f t="shared" si="0"/>
        <v>0</v>
      </c>
      <c r="O15" s="75">
        <f t="shared" si="0"/>
        <v>0</v>
      </c>
    </row>
    <row r="16" spans="1:15"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4.25" customHeight="1" x14ac:dyDescent="0.25"/>
  </sheetData>
  <mergeCells count="1">
    <mergeCell ref="D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9"/>
  <dimension ref="A1:AA261"/>
  <sheetViews>
    <sheetView showGridLines="0" topLeftCell="A226" zoomScale="70" zoomScaleNormal="70" workbookViewId="0">
      <selection activeCell="B257" sqref="B257"/>
    </sheetView>
  </sheetViews>
  <sheetFormatPr defaultRowHeight="15" x14ac:dyDescent="0.25"/>
  <cols>
    <col min="1" max="1" width="8.140625" style="60" customWidth="1"/>
    <col min="2" max="11" width="11.42578125" style="60" customWidth="1"/>
    <col min="12" max="12" width="8.85546875" style="60" customWidth="1"/>
    <col min="13" max="13" width="7.5703125" style="60" customWidth="1"/>
    <col min="14" max="18" width="11.42578125" style="60" customWidth="1"/>
    <col min="19" max="19" width="9" style="60" customWidth="1"/>
    <col min="20" max="20" width="11.42578125" style="60" customWidth="1"/>
    <col min="21" max="21" width="10.5703125" style="60" customWidth="1"/>
    <col min="22" max="23" width="11.42578125" style="60" customWidth="1"/>
    <col min="24" max="24" width="17.28515625" style="60" customWidth="1"/>
    <col min="25" max="16384" width="9.140625" style="60"/>
  </cols>
  <sheetData>
    <row r="1" spans="1:27" ht="15" customHeight="1" x14ac:dyDescent="0.25">
      <c r="A1" s="211"/>
      <c r="B1" s="212"/>
      <c r="C1" s="217" t="s">
        <v>735</v>
      </c>
      <c r="D1" s="217"/>
      <c r="E1" s="217"/>
      <c r="F1" s="217"/>
      <c r="G1" s="217"/>
      <c r="H1" s="217"/>
      <c r="I1" s="217"/>
      <c r="J1" s="217"/>
      <c r="K1" s="217"/>
      <c r="L1" s="217"/>
      <c r="M1" s="217"/>
      <c r="N1" s="217"/>
      <c r="O1" s="217"/>
      <c r="P1" s="217"/>
      <c r="Q1" s="217"/>
      <c r="R1" s="217"/>
      <c r="S1" s="217"/>
      <c r="T1" s="217"/>
      <c r="U1" s="217"/>
      <c r="V1" s="217"/>
      <c r="W1" s="217"/>
      <c r="X1" s="220"/>
      <c r="Y1" s="59"/>
      <c r="Z1" s="59"/>
      <c r="AA1" s="59"/>
    </row>
    <row r="2" spans="1:27" ht="15" customHeight="1" x14ac:dyDescent="0.25">
      <c r="A2" s="213"/>
      <c r="B2" s="214"/>
      <c r="C2" s="218"/>
      <c r="D2" s="218"/>
      <c r="E2" s="218"/>
      <c r="F2" s="218"/>
      <c r="G2" s="218"/>
      <c r="H2" s="218"/>
      <c r="I2" s="218"/>
      <c r="J2" s="218"/>
      <c r="K2" s="218"/>
      <c r="L2" s="218"/>
      <c r="M2" s="218"/>
      <c r="N2" s="218"/>
      <c r="O2" s="218"/>
      <c r="P2" s="218"/>
      <c r="Q2" s="218"/>
      <c r="R2" s="218"/>
      <c r="S2" s="218"/>
      <c r="T2" s="218"/>
      <c r="U2" s="218"/>
      <c r="V2" s="218"/>
      <c r="W2" s="218"/>
      <c r="X2" s="221"/>
      <c r="Y2" s="59"/>
      <c r="Z2" s="59"/>
      <c r="AA2" s="59"/>
    </row>
    <row r="3" spans="1:27" ht="15" customHeight="1" thickBot="1" x14ac:dyDescent="0.3">
      <c r="A3" s="215"/>
      <c r="B3" s="216"/>
      <c r="C3" s="219"/>
      <c r="D3" s="219"/>
      <c r="E3" s="219"/>
      <c r="F3" s="219"/>
      <c r="G3" s="219"/>
      <c r="H3" s="219"/>
      <c r="I3" s="219"/>
      <c r="J3" s="219"/>
      <c r="K3" s="219"/>
      <c r="L3" s="219"/>
      <c r="M3" s="219"/>
      <c r="N3" s="219"/>
      <c r="O3" s="219"/>
      <c r="P3" s="219"/>
      <c r="Q3" s="219"/>
      <c r="R3" s="219"/>
      <c r="S3" s="219"/>
      <c r="T3" s="219"/>
      <c r="U3" s="219"/>
      <c r="V3" s="219"/>
      <c r="W3" s="219"/>
      <c r="X3" s="222"/>
      <c r="Y3" s="59"/>
      <c r="Z3" s="59"/>
      <c r="AA3" s="59"/>
    </row>
    <row r="4" spans="1:27" ht="19.5" customHeight="1" x14ac:dyDescent="0.25">
      <c r="A4" s="223" t="s">
        <v>732</v>
      </c>
      <c r="B4" s="224"/>
      <c r="C4" s="224"/>
      <c r="D4" s="224"/>
      <c r="E4" s="224"/>
      <c r="F4" s="225">
        <f>SUM(F19:G218)-SUM(S19:S218)</f>
        <v>0</v>
      </c>
      <c r="G4" s="225"/>
      <c r="H4" s="226"/>
      <c r="I4" s="223" t="s">
        <v>678</v>
      </c>
      <c r="J4" s="224"/>
      <c r="K4" s="224"/>
      <c r="L4" s="224"/>
      <c r="M4" s="224"/>
      <c r="N4" s="229">
        <f>SUM(H19:I218)+SUM(U19:U218)</f>
        <v>0</v>
      </c>
      <c r="O4" s="230"/>
      <c r="P4" s="231"/>
      <c r="Q4" s="223" t="s">
        <v>738</v>
      </c>
      <c r="R4" s="224"/>
      <c r="S4" s="224"/>
      <c r="T4" s="224"/>
      <c r="U4" s="234" t="e">
        <f>F8*F4</f>
        <v>#VALUE!</v>
      </c>
      <c r="V4" s="234"/>
      <c r="W4" s="235"/>
      <c r="X4" s="236"/>
    </row>
    <row r="5" spans="1:27" ht="19.5" customHeight="1" x14ac:dyDescent="0.25">
      <c r="A5" s="190"/>
      <c r="B5" s="191"/>
      <c r="C5" s="191"/>
      <c r="D5" s="191"/>
      <c r="E5" s="191"/>
      <c r="F5" s="227"/>
      <c r="G5" s="227"/>
      <c r="H5" s="228"/>
      <c r="I5" s="190"/>
      <c r="J5" s="191"/>
      <c r="K5" s="191"/>
      <c r="L5" s="191"/>
      <c r="M5" s="191"/>
      <c r="N5" s="232"/>
      <c r="O5" s="232"/>
      <c r="P5" s="233"/>
      <c r="Q5" s="190"/>
      <c r="R5" s="191"/>
      <c r="S5" s="191"/>
      <c r="T5" s="191"/>
      <c r="U5" s="192"/>
      <c r="V5" s="192"/>
      <c r="W5" s="210"/>
      <c r="X5" s="193"/>
    </row>
    <row r="6" spans="1:27" ht="19.5" customHeight="1" x14ac:dyDescent="0.25">
      <c r="A6" s="190" t="s">
        <v>733</v>
      </c>
      <c r="B6" s="191"/>
      <c r="C6" s="191"/>
      <c r="D6" s="191"/>
      <c r="E6" s="191"/>
      <c r="F6" s="208">
        <v>0</v>
      </c>
      <c r="G6" s="208"/>
      <c r="H6" s="209"/>
      <c r="I6" s="190" t="s">
        <v>737</v>
      </c>
      <c r="J6" s="191"/>
      <c r="K6" s="191"/>
      <c r="L6" s="191"/>
      <c r="M6" s="191"/>
      <c r="N6" s="192" t="e">
        <f>U6/F4</f>
        <v>#DIV/0!</v>
      </c>
      <c r="O6" s="192"/>
      <c r="P6" s="193"/>
      <c r="Q6" s="190" t="s">
        <v>739</v>
      </c>
      <c r="R6" s="191"/>
      <c r="S6" s="191"/>
      <c r="T6" s="191"/>
      <c r="U6" s="192">
        <f>SUM(J19:K218)-SUM(W19:W218)</f>
        <v>0</v>
      </c>
      <c r="V6" s="192"/>
      <c r="W6" s="210"/>
      <c r="X6" s="193"/>
    </row>
    <row r="7" spans="1:27" ht="19.5" customHeight="1" x14ac:dyDescent="0.25">
      <c r="A7" s="190"/>
      <c r="B7" s="191"/>
      <c r="C7" s="191"/>
      <c r="D7" s="191"/>
      <c r="E7" s="191"/>
      <c r="F7" s="208"/>
      <c r="G7" s="208"/>
      <c r="H7" s="209"/>
      <c r="I7" s="190"/>
      <c r="J7" s="191"/>
      <c r="K7" s="191"/>
      <c r="L7" s="191"/>
      <c r="M7" s="191"/>
      <c r="N7" s="192"/>
      <c r="O7" s="192"/>
      <c r="P7" s="193"/>
      <c r="Q7" s="190"/>
      <c r="R7" s="191"/>
      <c r="S7" s="191"/>
      <c r="T7" s="191"/>
      <c r="U7" s="192"/>
      <c r="V7" s="192"/>
      <c r="W7" s="210"/>
      <c r="X7" s="193"/>
    </row>
    <row r="8" spans="1:27" ht="19.5" customHeight="1" x14ac:dyDescent="0.25">
      <c r="A8" s="190" t="s">
        <v>734</v>
      </c>
      <c r="B8" s="191"/>
      <c r="C8" s="191"/>
      <c r="D8" s="191"/>
      <c r="E8" s="191"/>
      <c r="F8" s="192" t="e">
        <f>E257</f>
        <v>#VALUE!</v>
      </c>
      <c r="G8" s="192"/>
      <c r="H8" s="193"/>
      <c r="I8" s="190" t="s">
        <v>736</v>
      </c>
      <c r="J8" s="191"/>
      <c r="K8" s="191"/>
      <c r="L8" s="191"/>
      <c r="M8" s="191"/>
      <c r="N8" s="194" t="e">
        <f>U8/U6</f>
        <v>#VALUE!</v>
      </c>
      <c r="O8" s="194"/>
      <c r="P8" s="195"/>
      <c r="Q8" s="196" t="s">
        <v>587</v>
      </c>
      <c r="R8" s="197"/>
      <c r="S8" s="197"/>
      <c r="T8" s="198"/>
      <c r="U8" s="202" t="e">
        <f>U4-U6</f>
        <v>#VALUE!</v>
      </c>
      <c r="V8" s="203"/>
      <c r="W8" s="203"/>
      <c r="X8" s="204"/>
    </row>
    <row r="9" spans="1:27" ht="19.5" customHeight="1" x14ac:dyDescent="0.25">
      <c r="A9" s="190"/>
      <c r="B9" s="191"/>
      <c r="C9" s="191"/>
      <c r="D9" s="191"/>
      <c r="E9" s="191"/>
      <c r="F9" s="192"/>
      <c r="G9" s="192"/>
      <c r="H9" s="193"/>
      <c r="I9" s="190"/>
      <c r="J9" s="191"/>
      <c r="K9" s="191"/>
      <c r="L9" s="191"/>
      <c r="M9" s="191"/>
      <c r="N9" s="194"/>
      <c r="O9" s="194"/>
      <c r="P9" s="195"/>
      <c r="Q9" s="199"/>
      <c r="R9" s="200"/>
      <c r="S9" s="200"/>
      <c r="T9" s="201"/>
      <c r="U9" s="205"/>
      <c r="V9" s="206"/>
      <c r="W9" s="206"/>
      <c r="X9" s="207"/>
    </row>
    <row r="10" spans="1:27" ht="7.5" customHeight="1" x14ac:dyDescent="0.25">
      <c r="A10" s="242"/>
      <c r="B10" s="242"/>
      <c r="C10" s="242"/>
      <c r="D10" s="242"/>
      <c r="E10" s="242"/>
      <c r="F10" s="242"/>
      <c r="G10" s="242"/>
      <c r="H10" s="242"/>
      <c r="I10" s="242"/>
      <c r="J10" s="242"/>
      <c r="K10" s="242"/>
      <c r="L10" s="242"/>
      <c r="M10" s="242"/>
      <c r="N10" s="242"/>
      <c r="O10" s="242"/>
      <c r="P10" s="242"/>
      <c r="Q10" s="242"/>
      <c r="R10" s="242"/>
      <c r="S10" s="242"/>
      <c r="T10" s="242"/>
      <c r="U10" s="242"/>
      <c r="V10" s="242"/>
      <c r="W10" s="242"/>
      <c r="X10" s="242"/>
    </row>
    <row r="11" spans="1:27" x14ac:dyDescent="0.25">
      <c r="A11" s="243" t="s">
        <v>19</v>
      </c>
      <c r="B11" s="243"/>
      <c r="C11" s="243"/>
      <c r="D11" s="243"/>
      <c r="E11" s="244" t="e">
        <f>F4*100/F6</f>
        <v>#DIV/0!</v>
      </c>
      <c r="F11" s="244"/>
      <c r="G11" s="244"/>
      <c r="H11" s="244"/>
      <c r="I11" s="244"/>
      <c r="J11" s="244"/>
      <c r="K11" s="244"/>
      <c r="L11" s="244"/>
      <c r="M11" s="244"/>
      <c r="N11" s="244"/>
      <c r="O11" s="244"/>
      <c r="P11" s="244"/>
      <c r="Q11" s="244"/>
      <c r="R11" s="244"/>
      <c r="S11" s="244"/>
      <c r="T11" s="244"/>
      <c r="U11" s="244"/>
      <c r="V11" s="244"/>
      <c r="W11" s="244"/>
      <c r="X11" s="244"/>
    </row>
    <row r="12" spans="1:27" x14ac:dyDescent="0.25">
      <c r="A12" s="243"/>
      <c r="B12" s="243"/>
      <c r="C12" s="243"/>
      <c r="D12" s="243"/>
      <c r="E12" s="244"/>
      <c r="F12" s="244"/>
      <c r="G12" s="244"/>
      <c r="H12" s="244"/>
      <c r="I12" s="244"/>
      <c r="J12" s="244"/>
      <c r="K12" s="244"/>
      <c r="L12" s="244"/>
      <c r="M12" s="244"/>
      <c r="N12" s="244"/>
      <c r="O12" s="244"/>
      <c r="P12" s="244"/>
      <c r="Q12" s="244"/>
      <c r="R12" s="244"/>
      <c r="S12" s="244"/>
      <c r="T12" s="244"/>
      <c r="U12" s="244"/>
      <c r="V12" s="244"/>
      <c r="W12" s="244"/>
      <c r="X12" s="244"/>
    </row>
    <row r="13" spans="1:27" ht="9" customHeight="1" x14ac:dyDescent="0.25">
      <c r="A13" s="245"/>
      <c r="B13" s="245"/>
      <c r="C13" s="245"/>
      <c r="D13" s="245"/>
      <c r="E13" s="245"/>
      <c r="F13" s="245"/>
      <c r="G13" s="245"/>
      <c r="H13" s="245"/>
      <c r="I13" s="245"/>
      <c r="J13" s="245"/>
      <c r="K13" s="245"/>
      <c r="L13" s="245"/>
      <c r="M13" s="245"/>
      <c r="N13" s="245"/>
      <c r="O13" s="245"/>
      <c r="P13" s="245"/>
      <c r="Q13" s="245"/>
      <c r="R13" s="245"/>
      <c r="S13" s="245"/>
      <c r="T13" s="245"/>
      <c r="U13" s="245"/>
      <c r="V13" s="245"/>
      <c r="W13" s="245"/>
      <c r="X13" s="245"/>
    </row>
    <row r="14" spans="1:27" ht="15" customHeight="1" x14ac:dyDescent="0.25">
      <c r="A14" s="246" t="s">
        <v>741</v>
      </c>
      <c r="B14" s="246"/>
      <c r="C14" s="246"/>
      <c r="D14" s="246"/>
      <c r="E14" s="246"/>
      <c r="F14" s="246"/>
      <c r="G14" s="246"/>
      <c r="H14" s="246"/>
      <c r="I14" s="246"/>
      <c r="J14" s="246"/>
      <c r="K14" s="246"/>
      <c r="L14" s="248"/>
      <c r="M14" s="41"/>
      <c r="N14" s="246" t="s">
        <v>740</v>
      </c>
      <c r="O14" s="246"/>
      <c r="P14" s="246"/>
      <c r="Q14" s="246"/>
      <c r="R14" s="246"/>
      <c r="S14" s="246"/>
      <c r="T14" s="246"/>
      <c r="U14" s="246"/>
      <c r="V14" s="246"/>
      <c r="W14" s="246"/>
      <c r="X14" s="246"/>
    </row>
    <row r="15" spans="1:27" ht="15" customHeight="1" x14ac:dyDescent="0.25">
      <c r="A15" s="246"/>
      <c r="B15" s="246"/>
      <c r="C15" s="246"/>
      <c r="D15" s="246"/>
      <c r="E15" s="246"/>
      <c r="F15" s="246"/>
      <c r="G15" s="246"/>
      <c r="H15" s="246"/>
      <c r="I15" s="246"/>
      <c r="J15" s="246"/>
      <c r="K15" s="246"/>
      <c r="L15" s="249"/>
      <c r="M15" s="41"/>
      <c r="N15" s="246"/>
      <c r="O15" s="246"/>
      <c r="P15" s="246"/>
      <c r="Q15" s="246"/>
      <c r="R15" s="246"/>
      <c r="S15" s="246"/>
      <c r="T15" s="246"/>
      <c r="U15" s="246"/>
      <c r="V15" s="246"/>
      <c r="W15" s="246"/>
      <c r="X15" s="246"/>
    </row>
    <row r="16" spans="1:27" ht="7.5" customHeight="1" x14ac:dyDescent="0.25">
      <c r="A16" s="247"/>
      <c r="B16" s="247"/>
      <c r="C16" s="247"/>
      <c r="D16" s="247"/>
      <c r="E16" s="247"/>
      <c r="F16" s="247"/>
      <c r="G16" s="247"/>
      <c r="H16" s="247"/>
      <c r="I16" s="247"/>
      <c r="J16" s="247"/>
      <c r="K16" s="247"/>
      <c r="L16" s="249"/>
      <c r="M16" s="41"/>
      <c r="N16" s="247"/>
      <c r="O16" s="247"/>
      <c r="P16" s="247"/>
      <c r="Q16" s="247"/>
      <c r="R16" s="247"/>
      <c r="S16" s="247"/>
      <c r="T16" s="247"/>
      <c r="U16" s="247"/>
      <c r="V16" s="247"/>
      <c r="W16" s="247"/>
      <c r="X16" s="247"/>
    </row>
    <row r="17" spans="1:24" ht="15" customHeight="1" x14ac:dyDescent="0.25">
      <c r="A17" s="241" t="s">
        <v>585</v>
      </c>
      <c r="B17" s="241" t="s">
        <v>681</v>
      </c>
      <c r="C17" s="241"/>
      <c r="D17" s="241" t="s">
        <v>748</v>
      </c>
      <c r="E17" s="241"/>
      <c r="F17" s="241" t="s">
        <v>747</v>
      </c>
      <c r="G17" s="241"/>
      <c r="H17" s="241" t="s">
        <v>682</v>
      </c>
      <c r="I17" s="241"/>
      <c r="J17" s="241" t="s">
        <v>746</v>
      </c>
      <c r="K17" s="241"/>
      <c r="L17" s="249"/>
      <c r="M17" s="41"/>
      <c r="N17" s="241" t="s">
        <v>585</v>
      </c>
      <c r="O17" s="241" t="s">
        <v>742</v>
      </c>
      <c r="P17" s="241"/>
      <c r="Q17" s="241" t="s">
        <v>743</v>
      </c>
      <c r="R17" s="241"/>
      <c r="S17" s="241" t="s">
        <v>744</v>
      </c>
      <c r="T17" s="241"/>
      <c r="U17" s="241" t="s">
        <v>682</v>
      </c>
      <c r="V17" s="241"/>
      <c r="W17" s="241" t="s">
        <v>745</v>
      </c>
      <c r="X17" s="241"/>
    </row>
    <row r="18" spans="1:24" ht="30" customHeight="1" x14ac:dyDescent="0.25">
      <c r="A18" s="241"/>
      <c r="B18" s="241"/>
      <c r="C18" s="241"/>
      <c r="D18" s="241"/>
      <c r="E18" s="241"/>
      <c r="F18" s="241"/>
      <c r="G18" s="241"/>
      <c r="H18" s="241"/>
      <c r="I18" s="241"/>
      <c r="J18" s="241"/>
      <c r="K18" s="241"/>
      <c r="L18" s="249"/>
      <c r="M18" s="41"/>
      <c r="N18" s="241"/>
      <c r="O18" s="241"/>
      <c r="P18" s="241"/>
      <c r="Q18" s="241"/>
      <c r="R18" s="241"/>
      <c r="S18" s="241"/>
      <c r="T18" s="241"/>
      <c r="U18" s="241"/>
      <c r="V18" s="241"/>
      <c r="W18" s="241"/>
      <c r="X18" s="241"/>
    </row>
    <row r="19" spans="1:24" ht="22.5" customHeight="1" x14ac:dyDescent="0.25">
      <c r="A19" s="61">
        <v>1</v>
      </c>
      <c r="B19" s="237"/>
      <c r="C19" s="237"/>
      <c r="D19" s="238"/>
      <c r="E19" s="238"/>
      <c r="F19" s="239"/>
      <c r="G19" s="239"/>
      <c r="H19" s="238"/>
      <c r="I19" s="238"/>
      <c r="J19" s="240">
        <f>D19*F19+H19</f>
        <v>0</v>
      </c>
      <c r="K19" s="240"/>
      <c r="L19" s="249"/>
      <c r="M19" s="41"/>
      <c r="N19" s="61">
        <v>1</v>
      </c>
      <c r="O19" s="237"/>
      <c r="P19" s="237"/>
      <c r="Q19" s="238"/>
      <c r="R19" s="238"/>
      <c r="S19" s="239"/>
      <c r="T19" s="239"/>
      <c r="U19" s="238"/>
      <c r="V19" s="238"/>
      <c r="W19" s="240">
        <f>Q19*S19-U19</f>
        <v>0</v>
      </c>
      <c r="X19" s="240"/>
    </row>
    <row r="20" spans="1:24" ht="22.5" customHeight="1" x14ac:dyDescent="0.25">
      <c r="A20" s="62">
        <v>2</v>
      </c>
      <c r="B20" s="250"/>
      <c r="C20" s="250"/>
      <c r="D20" s="251"/>
      <c r="E20" s="251"/>
      <c r="F20" s="252"/>
      <c r="G20" s="252"/>
      <c r="H20" s="251"/>
      <c r="I20" s="251"/>
      <c r="J20" s="253">
        <f t="shared" ref="J20:J83" si="0">D20*F20+H20</f>
        <v>0</v>
      </c>
      <c r="K20" s="254"/>
      <c r="L20" s="249"/>
      <c r="M20" s="41"/>
      <c r="N20" s="62">
        <v>2</v>
      </c>
      <c r="O20" s="250"/>
      <c r="P20" s="250"/>
      <c r="Q20" s="251"/>
      <c r="R20" s="251"/>
      <c r="S20" s="252"/>
      <c r="T20" s="252"/>
      <c r="U20" s="251"/>
      <c r="V20" s="251"/>
      <c r="W20" s="253">
        <f t="shared" ref="W20:W83" si="1">Q20*S20-U20</f>
        <v>0</v>
      </c>
      <c r="X20" s="254"/>
    </row>
    <row r="21" spans="1:24" ht="22.5" customHeight="1" x14ac:dyDescent="0.25">
      <c r="A21" s="61">
        <v>3</v>
      </c>
      <c r="B21" s="237"/>
      <c r="C21" s="237"/>
      <c r="D21" s="238"/>
      <c r="E21" s="238"/>
      <c r="F21" s="239"/>
      <c r="G21" s="239"/>
      <c r="H21" s="238"/>
      <c r="I21" s="238"/>
      <c r="J21" s="240">
        <f t="shared" si="0"/>
        <v>0</v>
      </c>
      <c r="K21" s="240"/>
      <c r="L21" s="249"/>
      <c r="M21" s="41"/>
      <c r="N21" s="61">
        <v>3</v>
      </c>
      <c r="O21" s="237"/>
      <c r="P21" s="237"/>
      <c r="Q21" s="238"/>
      <c r="R21" s="238"/>
      <c r="S21" s="239"/>
      <c r="T21" s="239"/>
      <c r="U21" s="238"/>
      <c r="V21" s="238"/>
      <c r="W21" s="256">
        <f t="shared" si="1"/>
        <v>0</v>
      </c>
      <c r="X21" s="257"/>
    </row>
    <row r="22" spans="1:24" ht="22.5" customHeight="1" x14ac:dyDescent="0.25">
      <c r="A22" s="62">
        <v>4</v>
      </c>
      <c r="B22" s="250"/>
      <c r="C22" s="250"/>
      <c r="D22" s="251"/>
      <c r="E22" s="251"/>
      <c r="F22" s="252"/>
      <c r="G22" s="252"/>
      <c r="H22" s="251"/>
      <c r="I22" s="251"/>
      <c r="J22" s="253">
        <f t="shared" si="0"/>
        <v>0</v>
      </c>
      <c r="K22" s="254"/>
      <c r="L22" s="249"/>
      <c r="M22" s="41"/>
      <c r="N22" s="62">
        <v>4</v>
      </c>
      <c r="O22" s="250"/>
      <c r="P22" s="250"/>
      <c r="Q22" s="251"/>
      <c r="R22" s="251"/>
      <c r="S22" s="252"/>
      <c r="T22" s="252"/>
      <c r="U22" s="251"/>
      <c r="V22" s="251"/>
      <c r="W22" s="253">
        <f t="shared" si="1"/>
        <v>0</v>
      </c>
      <c r="X22" s="254"/>
    </row>
    <row r="23" spans="1:24" ht="22.5" customHeight="1" x14ac:dyDescent="0.25">
      <c r="A23" s="61">
        <v>5</v>
      </c>
      <c r="B23" s="237"/>
      <c r="C23" s="237"/>
      <c r="D23" s="238"/>
      <c r="E23" s="238"/>
      <c r="F23" s="239"/>
      <c r="G23" s="239"/>
      <c r="H23" s="238"/>
      <c r="I23" s="238"/>
      <c r="J23" s="240">
        <f t="shared" si="0"/>
        <v>0</v>
      </c>
      <c r="K23" s="240"/>
      <c r="L23" s="249"/>
      <c r="M23" s="41"/>
      <c r="N23" s="61">
        <v>5</v>
      </c>
      <c r="O23" s="237"/>
      <c r="P23" s="237"/>
      <c r="Q23" s="238"/>
      <c r="R23" s="238"/>
      <c r="S23" s="239"/>
      <c r="T23" s="239"/>
      <c r="U23" s="238"/>
      <c r="V23" s="238"/>
      <c r="W23" s="256">
        <f t="shared" si="1"/>
        <v>0</v>
      </c>
      <c r="X23" s="257"/>
    </row>
    <row r="24" spans="1:24" ht="22.5" customHeight="1" x14ac:dyDescent="0.25">
      <c r="A24" s="62">
        <v>6</v>
      </c>
      <c r="B24" s="250"/>
      <c r="C24" s="250"/>
      <c r="D24" s="251"/>
      <c r="E24" s="251"/>
      <c r="F24" s="252"/>
      <c r="G24" s="252"/>
      <c r="H24" s="251"/>
      <c r="I24" s="251"/>
      <c r="J24" s="253">
        <f t="shared" si="0"/>
        <v>0</v>
      </c>
      <c r="K24" s="254"/>
      <c r="L24" s="249"/>
      <c r="M24" s="41"/>
      <c r="N24" s="62">
        <v>6</v>
      </c>
      <c r="O24" s="250"/>
      <c r="P24" s="250"/>
      <c r="Q24" s="251"/>
      <c r="R24" s="251"/>
      <c r="S24" s="252"/>
      <c r="T24" s="252"/>
      <c r="U24" s="251"/>
      <c r="V24" s="251"/>
      <c r="W24" s="253">
        <f t="shared" si="1"/>
        <v>0</v>
      </c>
      <c r="X24" s="254"/>
    </row>
    <row r="25" spans="1:24" ht="22.5" customHeight="1" x14ac:dyDescent="0.25">
      <c r="A25" s="61">
        <v>7</v>
      </c>
      <c r="B25" s="237"/>
      <c r="C25" s="237"/>
      <c r="D25" s="238"/>
      <c r="E25" s="238"/>
      <c r="F25" s="239"/>
      <c r="G25" s="239"/>
      <c r="H25" s="238"/>
      <c r="I25" s="238"/>
      <c r="J25" s="240">
        <f t="shared" si="0"/>
        <v>0</v>
      </c>
      <c r="K25" s="240"/>
      <c r="L25" s="249"/>
      <c r="M25" s="41"/>
      <c r="N25" s="61">
        <v>7</v>
      </c>
      <c r="O25" s="237"/>
      <c r="P25" s="237"/>
      <c r="Q25" s="238"/>
      <c r="R25" s="238"/>
      <c r="S25" s="239"/>
      <c r="T25" s="239"/>
      <c r="U25" s="238"/>
      <c r="V25" s="238"/>
      <c r="W25" s="256">
        <f t="shared" si="1"/>
        <v>0</v>
      </c>
      <c r="X25" s="257"/>
    </row>
    <row r="26" spans="1:24" ht="22.5" customHeight="1" x14ac:dyDescent="0.25">
      <c r="A26" s="62">
        <v>8</v>
      </c>
      <c r="B26" s="250"/>
      <c r="C26" s="250"/>
      <c r="D26" s="251"/>
      <c r="E26" s="251"/>
      <c r="F26" s="252"/>
      <c r="G26" s="252"/>
      <c r="H26" s="251"/>
      <c r="I26" s="251"/>
      <c r="J26" s="253">
        <f t="shared" si="0"/>
        <v>0</v>
      </c>
      <c r="K26" s="254"/>
      <c r="L26" s="249"/>
      <c r="M26" s="41"/>
      <c r="N26" s="62">
        <v>8</v>
      </c>
      <c r="O26" s="250"/>
      <c r="P26" s="250"/>
      <c r="Q26" s="251"/>
      <c r="R26" s="251"/>
      <c r="S26" s="252"/>
      <c r="T26" s="252"/>
      <c r="U26" s="251"/>
      <c r="V26" s="251"/>
      <c r="W26" s="253">
        <f t="shared" si="1"/>
        <v>0</v>
      </c>
      <c r="X26" s="254"/>
    </row>
    <row r="27" spans="1:24" ht="22.5" customHeight="1" x14ac:dyDescent="0.25">
      <c r="A27" s="61">
        <v>9</v>
      </c>
      <c r="B27" s="237"/>
      <c r="C27" s="237"/>
      <c r="D27" s="238"/>
      <c r="E27" s="238"/>
      <c r="F27" s="239"/>
      <c r="G27" s="239"/>
      <c r="H27" s="238"/>
      <c r="I27" s="238"/>
      <c r="J27" s="240">
        <f t="shared" si="0"/>
        <v>0</v>
      </c>
      <c r="K27" s="240"/>
      <c r="L27" s="249"/>
      <c r="M27" s="41"/>
      <c r="N27" s="61">
        <v>9</v>
      </c>
      <c r="O27" s="237"/>
      <c r="P27" s="237"/>
      <c r="Q27" s="238"/>
      <c r="R27" s="238"/>
      <c r="S27" s="239"/>
      <c r="T27" s="239"/>
      <c r="U27" s="238"/>
      <c r="V27" s="238"/>
      <c r="W27" s="256">
        <f t="shared" si="1"/>
        <v>0</v>
      </c>
      <c r="X27" s="257"/>
    </row>
    <row r="28" spans="1:24" ht="22.5" customHeight="1" x14ac:dyDescent="0.25">
      <c r="A28" s="62">
        <v>10</v>
      </c>
      <c r="B28" s="250"/>
      <c r="C28" s="250"/>
      <c r="D28" s="251"/>
      <c r="E28" s="251"/>
      <c r="F28" s="252"/>
      <c r="G28" s="252"/>
      <c r="H28" s="251"/>
      <c r="I28" s="251"/>
      <c r="J28" s="253">
        <f t="shared" si="0"/>
        <v>0</v>
      </c>
      <c r="K28" s="254"/>
      <c r="L28" s="249"/>
      <c r="M28" s="41"/>
      <c r="N28" s="62">
        <v>10</v>
      </c>
      <c r="O28" s="250"/>
      <c r="P28" s="250"/>
      <c r="Q28" s="251"/>
      <c r="R28" s="251"/>
      <c r="S28" s="252"/>
      <c r="T28" s="252"/>
      <c r="U28" s="251"/>
      <c r="V28" s="251"/>
      <c r="W28" s="253">
        <f t="shared" si="1"/>
        <v>0</v>
      </c>
      <c r="X28" s="254"/>
    </row>
    <row r="29" spans="1:24" ht="22.5" customHeight="1" x14ac:dyDescent="0.25">
      <c r="A29" s="61">
        <v>11</v>
      </c>
      <c r="B29" s="237"/>
      <c r="C29" s="237"/>
      <c r="D29" s="238"/>
      <c r="E29" s="238"/>
      <c r="F29" s="239"/>
      <c r="G29" s="239"/>
      <c r="H29" s="238"/>
      <c r="I29" s="238"/>
      <c r="J29" s="240">
        <f t="shared" si="0"/>
        <v>0</v>
      </c>
      <c r="K29" s="240"/>
      <c r="L29" s="249"/>
      <c r="M29" s="41"/>
      <c r="N29" s="61">
        <v>11</v>
      </c>
      <c r="O29" s="237"/>
      <c r="P29" s="237"/>
      <c r="Q29" s="238"/>
      <c r="R29" s="238"/>
      <c r="S29" s="239"/>
      <c r="T29" s="239"/>
      <c r="U29" s="238"/>
      <c r="V29" s="238"/>
      <c r="W29" s="256">
        <f t="shared" si="1"/>
        <v>0</v>
      </c>
      <c r="X29" s="257"/>
    </row>
    <row r="30" spans="1:24" ht="22.5" customHeight="1" x14ac:dyDescent="0.25">
      <c r="A30" s="62">
        <v>12</v>
      </c>
      <c r="B30" s="250"/>
      <c r="C30" s="250"/>
      <c r="D30" s="251"/>
      <c r="E30" s="251"/>
      <c r="F30" s="252"/>
      <c r="G30" s="252"/>
      <c r="H30" s="251"/>
      <c r="I30" s="251"/>
      <c r="J30" s="253">
        <f t="shared" si="0"/>
        <v>0</v>
      </c>
      <c r="K30" s="254"/>
      <c r="L30" s="249"/>
      <c r="M30" s="41"/>
      <c r="N30" s="62">
        <v>12</v>
      </c>
      <c r="O30" s="250"/>
      <c r="P30" s="250"/>
      <c r="Q30" s="251"/>
      <c r="R30" s="251"/>
      <c r="S30" s="252"/>
      <c r="T30" s="252"/>
      <c r="U30" s="251"/>
      <c r="V30" s="251"/>
      <c r="W30" s="253">
        <f t="shared" si="1"/>
        <v>0</v>
      </c>
      <c r="X30" s="254"/>
    </row>
    <row r="31" spans="1:24" ht="22.5" customHeight="1" x14ac:dyDescent="0.25">
      <c r="A31" s="61">
        <v>13</v>
      </c>
      <c r="B31" s="237"/>
      <c r="C31" s="237"/>
      <c r="D31" s="238"/>
      <c r="E31" s="238"/>
      <c r="F31" s="239"/>
      <c r="G31" s="239"/>
      <c r="H31" s="238"/>
      <c r="I31" s="238"/>
      <c r="J31" s="240">
        <f t="shared" si="0"/>
        <v>0</v>
      </c>
      <c r="K31" s="240"/>
      <c r="L31" s="249"/>
      <c r="M31" s="41"/>
      <c r="N31" s="61">
        <v>13</v>
      </c>
      <c r="O31" s="237"/>
      <c r="P31" s="237"/>
      <c r="Q31" s="238"/>
      <c r="R31" s="238"/>
      <c r="S31" s="239"/>
      <c r="T31" s="239"/>
      <c r="U31" s="238"/>
      <c r="V31" s="238"/>
      <c r="W31" s="256">
        <f t="shared" si="1"/>
        <v>0</v>
      </c>
      <c r="X31" s="257"/>
    </row>
    <row r="32" spans="1:24" ht="22.5" customHeight="1" x14ac:dyDescent="0.25">
      <c r="A32" s="62">
        <v>14</v>
      </c>
      <c r="B32" s="250"/>
      <c r="C32" s="250"/>
      <c r="D32" s="251"/>
      <c r="E32" s="251"/>
      <c r="F32" s="252"/>
      <c r="G32" s="252"/>
      <c r="H32" s="251"/>
      <c r="I32" s="251"/>
      <c r="J32" s="253">
        <f t="shared" si="0"/>
        <v>0</v>
      </c>
      <c r="K32" s="254"/>
      <c r="L32" s="249"/>
      <c r="M32" s="41"/>
      <c r="N32" s="62">
        <v>14</v>
      </c>
      <c r="O32" s="250"/>
      <c r="P32" s="250"/>
      <c r="Q32" s="251"/>
      <c r="R32" s="251"/>
      <c r="S32" s="252"/>
      <c r="T32" s="252"/>
      <c r="U32" s="251"/>
      <c r="V32" s="251"/>
      <c r="W32" s="253">
        <f t="shared" si="1"/>
        <v>0</v>
      </c>
      <c r="X32" s="254"/>
    </row>
    <row r="33" spans="1:24" ht="22.5" customHeight="1" x14ac:dyDescent="0.25">
      <c r="A33" s="61">
        <v>15</v>
      </c>
      <c r="B33" s="237"/>
      <c r="C33" s="237"/>
      <c r="D33" s="238"/>
      <c r="E33" s="238"/>
      <c r="F33" s="239"/>
      <c r="G33" s="239"/>
      <c r="H33" s="238"/>
      <c r="I33" s="238"/>
      <c r="J33" s="240">
        <f t="shared" si="0"/>
        <v>0</v>
      </c>
      <c r="K33" s="240"/>
      <c r="L33" s="249"/>
      <c r="M33" s="41"/>
      <c r="N33" s="61">
        <v>15</v>
      </c>
      <c r="O33" s="237"/>
      <c r="P33" s="237"/>
      <c r="Q33" s="238"/>
      <c r="R33" s="238"/>
      <c r="S33" s="239"/>
      <c r="T33" s="239"/>
      <c r="U33" s="238"/>
      <c r="V33" s="238"/>
      <c r="W33" s="256">
        <f t="shared" si="1"/>
        <v>0</v>
      </c>
      <c r="X33" s="257"/>
    </row>
    <row r="34" spans="1:24" ht="22.5" customHeight="1" x14ac:dyDescent="0.25">
      <c r="A34" s="62">
        <v>16</v>
      </c>
      <c r="B34" s="250"/>
      <c r="C34" s="250"/>
      <c r="D34" s="251"/>
      <c r="E34" s="251"/>
      <c r="F34" s="252"/>
      <c r="G34" s="252"/>
      <c r="H34" s="251"/>
      <c r="I34" s="251"/>
      <c r="J34" s="253">
        <f t="shared" si="0"/>
        <v>0</v>
      </c>
      <c r="K34" s="254"/>
      <c r="L34" s="249"/>
      <c r="M34" s="41"/>
      <c r="N34" s="62">
        <v>16</v>
      </c>
      <c r="O34" s="250"/>
      <c r="P34" s="250"/>
      <c r="Q34" s="251"/>
      <c r="R34" s="251"/>
      <c r="S34" s="252"/>
      <c r="T34" s="252"/>
      <c r="U34" s="251"/>
      <c r="V34" s="251"/>
      <c r="W34" s="253">
        <f t="shared" si="1"/>
        <v>0</v>
      </c>
      <c r="X34" s="254"/>
    </row>
    <row r="35" spans="1:24" ht="22.5" customHeight="1" x14ac:dyDescent="0.25">
      <c r="A35" s="61">
        <v>17</v>
      </c>
      <c r="B35" s="237"/>
      <c r="C35" s="237"/>
      <c r="D35" s="238"/>
      <c r="E35" s="238"/>
      <c r="F35" s="239"/>
      <c r="G35" s="239"/>
      <c r="H35" s="238"/>
      <c r="I35" s="238"/>
      <c r="J35" s="240">
        <f t="shared" si="0"/>
        <v>0</v>
      </c>
      <c r="K35" s="240"/>
      <c r="L35" s="249"/>
      <c r="M35" s="41"/>
      <c r="N35" s="61">
        <v>17</v>
      </c>
      <c r="O35" s="237"/>
      <c r="P35" s="237"/>
      <c r="Q35" s="238"/>
      <c r="R35" s="238"/>
      <c r="S35" s="239"/>
      <c r="T35" s="239"/>
      <c r="U35" s="238"/>
      <c r="V35" s="238"/>
      <c r="W35" s="256">
        <f t="shared" si="1"/>
        <v>0</v>
      </c>
      <c r="X35" s="257"/>
    </row>
    <row r="36" spans="1:24" ht="22.5" customHeight="1" x14ac:dyDescent="0.25">
      <c r="A36" s="62">
        <v>18</v>
      </c>
      <c r="B36" s="250"/>
      <c r="C36" s="250"/>
      <c r="D36" s="251"/>
      <c r="E36" s="251"/>
      <c r="F36" s="252"/>
      <c r="G36" s="252"/>
      <c r="H36" s="251"/>
      <c r="I36" s="251"/>
      <c r="J36" s="253">
        <f t="shared" si="0"/>
        <v>0</v>
      </c>
      <c r="K36" s="254"/>
      <c r="L36" s="249"/>
      <c r="M36" s="41"/>
      <c r="N36" s="62">
        <v>18</v>
      </c>
      <c r="O36" s="250"/>
      <c r="P36" s="250"/>
      <c r="Q36" s="251"/>
      <c r="R36" s="251"/>
      <c r="S36" s="252"/>
      <c r="T36" s="252"/>
      <c r="U36" s="251"/>
      <c r="V36" s="251"/>
      <c r="W36" s="253">
        <f t="shared" si="1"/>
        <v>0</v>
      </c>
      <c r="X36" s="254"/>
    </row>
    <row r="37" spans="1:24" ht="22.5" customHeight="1" x14ac:dyDescent="0.25">
      <c r="A37" s="61">
        <v>19</v>
      </c>
      <c r="B37" s="237"/>
      <c r="C37" s="237"/>
      <c r="D37" s="238"/>
      <c r="E37" s="238"/>
      <c r="F37" s="239"/>
      <c r="G37" s="239"/>
      <c r="H37" s="238"/>
      <c r="I37" s="238"/>
      <c r="J37" s="240">
        <f t="shared" si="0"/>
        <v>0</v>
      </c>
      <c r="K37" s="240"/>
      <c r="L37" s="249"/>
      <c r="M37" s="41"/>
      <c r="N37" s="61">
        <v>19</v>
      </c>
      <c r="O37" s="237"/>
      <c r="P37" s="237"/>
      <c r="Q37" s="238"/>
      <c r="R37" s="238"/>
      <c r="S37" s="239"/>
      <c r="T37" s="239"/>
      <c r="U37" s="238"/>
      <c r="V37" s="238"/>
      <c r="W37" s="256">
        <f t="shared" si="1"/>
        <v>0</v>
      </c>
      <c r="X37" s="257"/>
    </row>
    <row r="38" spans="1:24" ht="22.5" customHeight="1" x14ac:dyDescent="0.25">
      <c r="A38" s="62">
        <v>20</v>
      </c>
      <c r="B38" s="250"/>
      <c r="C38" s="250"/>
      <c r="D38" s="251"/>
      <c r="E38" s="251"/>
      <c r="F38" s="252"/>
      <c r="G38" s="252"/>
      <c r="H38" s="251"/>
      <c r="I38" s="251"/>
      <c r="J38" s="253">
        <f t="shared" si="0"/>
        <v>0</v>
      </c>
      <c r="K38" s="254"/>
      <c r="L38" s="249"/>
      <c r="M38" s="41"/>
      <c r="N38" s="62">
        <v>20</v>
      </c>
      <c r="O38" s="250"/>
      <c r="P38" s="250"/>
      <c r="Q38" s="251"/>
      <c r="R38" s="251"/>
      <c r="S38" s="252"/>
      <c r="T38" s="252"/>
      <c r="U38" s="251"/>
      <c r="V38" s="251"/>
      <c r="W38" s="253">
        <f t="shared" si="1"/>
        <v>0</v>
      </c>
      <c r="X38" s="254"/>
    </row>
    <row r="39" spans="1:24" ht="22.5" customHeight="1" x14ac:dyDescent="0.25">
      <c r="A39" s="61">
        <v>21</v>
      </c>
      <c r="B39" s="237"/>
      <c r="C39" s="237"/>
      <c r="D39" s="238"/>
      <c r="E39" s="238"/>
      <c r="F39" s="239"/>
      <c r="G39" s="239"/>
      <c r="H39" s="238"/>
      <c r="I39" s="238"/>
      <c r="J39" s="240">
        <f t="shared" si="0"/>
        <v>0</v>
      </c>
      <c r="K39" s="240"/>
      <c r="L39" s="249"/>
      <c r="M39" s="41"/>
      <c r="N39" s="61">
        <v>21</v>
      </c>
      <c r="O39" s="237"/>
      <c r="P39" s="237"/>
      <c r="Q39" s="238"/>
      <c r="R39" s="238"/>
      <c r="S39" s="239"/>
      <c r="T39" s="239"/>
      <c r="U39" s="238"/>
      <c r="V39" s="238"/>
      <c r="W39" s="256">
        <f t="shared" si="1"/>
        <v>0</v>
      </c>
      <c r="X39" s="257"/>
    </row>
    <row r="40" spans="1:24" ht="22.5" customHeight="1" x14ac:dyDescent="0.25">
      <c r="A40" s="62">
        <v>22</v>
      </c>
      <c r="B40" s="250"/>
      <c r="C40" s="250"/>
      <c r="D40" s="251"/>
      <c r="E40" s="251"/>
      <c r="F40" s="252"/>
      <c r="G40" s="252"/>
      <c r="H40" s="251"/>
      <c r="I40" s="251"/>
      <c r="J40" s="253">
        <f t="shared" si="0"/>
        <v>0</v>
      </c>
      <c r="K40" s="254"/>
      <c r="L40" s="249"/>
      <c r="M40" s="41"/>
      <c r="N40" s="62">
        <v>22</v>
      </c>
      <c r="O40" s="250"/>
      <c r="P40" s="250"/>
      <c r="Q40" s="251"/>
      <c r="R40" s="251"/>
      <c r="S40" s="252"/>
      <c r="T40" s="252"/>
      <c r="U40" s="251"/>
      <c r="V40" s="251"/>
      <c r="W40" s="253">
        <f t="shared" si="1"/>
        <v>0</v>
      </c>
      <c r="X40" s="254"/>
    </row>
    <row r="41" spans="1:24" ht="22.5" customHeight="1" x14ac:dyDescent="0.25">
      <c r="A41" s="61">
        <v>23</v>
      </c>
      <c r="B41" s="237"/>
      <c r="C41" s="237"/>
      <c r="D41" s="238"/>
      <c r="E41" s="238"/>
      <c r="F41" s="239"/>
      <c r="G41" s="239"/>
      <c r="H41" s="238"/>
      <c r="I41" s="238"/>
      <c r="J41" s="240">
        <f t="shared" si="0"/>
        <v>0</v>
      </c>
      <c r="K41" s="240"/>
      <c r="L41" s="249"/>
      <c r="M41" s="41"/>
      <c r="N41" s="61">
        <v>23</v>
      </c>
      <c r="O41" s="237"/>
      <c r="P41" s="237"/>
      <c r="Q41" s="238"/>
      <c r="R41" s="238"/>
      <c r="S41" s="239"/>
      <c r="T41" s="239"/>
      <c r="U41" s="238"/>
      <c r="V41" s="238"/>
      <c r="W41" s="256">
        <f t="shared" si="1"/>
        <v>0</v>
      </c>
      <c r="X41" s="257"/>
    </row>
    <row r="42" spans="1:24" ht="22.5" customHeight="1" x14ac:dyDescent="0.25">
      <c r="A42" s="62">
        <v>24</v>
      </c>
      <c r="B42" s="250"/>
      <c r="C42" s="250"/>
      <c r="D42" s="251"/>
      <c r="E42" s="251"/>
      <c r="F42" s="252"/>
      <c r="G42" s="252"/>
      <c r="H42" s="251"/>
      <c r="I42" s="251"/>
      <c r="J42" s="253">
        <f t="shared" si="0"/>
        <v>0</v>
      </c>
      <c r="K42" s="254"/>
      <c r="L42" s="249"/>
      <c r="M42" s="41"/>
      <c r="N42" s="62">
        <v>24</v>
      </c>
      <c r="O42" s="250"/>
      <c r="P42" s="250"/>
      <c r="Q42" s="251"/>
      <c r="R42" s="251"/>
      <c r="S42" s="252"/>
      <c r="T42" s="252"/>
      <c r="U42" s="251"/>
      <c r="V42" s="251"/>
      <c r="W42" s="253">
        <f t="shared" si="1"/>
        <v>0</v>
      </c>
      <c r="X42" s="254"/>
    </row>
    <row r="43" spans="1:24" ht="22.5" customHeight="1" x14ac:dyDescent="0.25">
      <c r="A43" s="61">
        <v>25</v>
      </c>
      <c r="B43" s="237"/>
      <c r="C43" s="237"/>
      <c r="D43" s="238"/>
      <c r="E43" s="238"/>
      <c r="F43" s="239"/>
      <c r="G43" s="239"/>
      <c r="H43" s="238"/>
      <c r="I43" s="238"/>
      <c r="J43" s="240">
        <f t="shared" si="0"/>
        <v>0</v>
      </c>
      <c r="K43" s="240"/>
      <c r="L43" s="249"/>
      <c r="M43" s="41"/>
      <c r="N43" s="61">
        <v>25</v>
      </c>
      <c r="O43" s="237"/>
      <c r="P43" s="237"/>
      <c r="Q43" s="238"/>
      <c r="R43" s="238"/>
      <c r="S43" s="239"/>
      <c r="T43" s="239"/>
      <c r="U43" s="238"/>
      <c r="V43" s="238"/>
      <c r="W43" s="256">
        <f t="shared" si="1"/>
        <v>0</v>
      </c>
      <c r="X43" s="257"/>
    </row>
    <row r="44" spans="1:24" ht="22.5" customHeight="1" x14ac:dyDescent="0.25">
      <c r="A44" s="62">
        <v>26</v>
      </c>
      <c r="B44" s="250"/>
      <c r="C44" s="250"/>
      <c r="D44" s="251"/>
      <c r="E44" s="251"/>
      <c r="F44" s="252"/>
      <c r="G44" s="252"/>
      <c r="H44" s="251"/>
      <c r="I44" s="251"/>
      <c r="J44" s="253">
        <f t="shared" si="0"/>
        <v>0</v>
      </c>
      <c r="K44" s="254"/>
      <c r="L44" s="249"/>
      <c r="M44" s="41"/>
      <c r="N44" s="62">
        <v>26</v>
      </c>
      <c r="O44" s="250"/>
      <c r="P44" s="250"/>
      <c r="Q44" s="251"/>
      <c r="R44" s="251"/>
      <c r="S44" s="252"/>
      <c r="T44" s="252"/>
      <c r="U44" s="251"/>
      <c r="V44" s="251"/>
      <c r="W44" s="253">
        <f t="shared" si="1"/>
        <v>0</v>
      </c>
      <c r="X44" s="254"/>
    </row>
    <row r="45" spans="1:24" ht="22.5" customHeight="1" x14ac:dyDescent="0.25">
      <c r="A45" s="61">
        <v>27</v>
      </c>
      <c r="B45" s="237"/>
      <c r="C45" s="237"/>
      <c r="D45" s="238"/>
      <c r="E45" s="238"/>
      <c r="F45" s="239"/>
      <c r="G45" s="239"/>
      <c r="H45" s="238"/>
      <c r="I45" s="238"/>
      <c r="J45" s="240">
        <f t="shared" si="0"/>
        <v>0</v>
      </c>
      <c r="K45" s="240"/>
      <c r="L45" s="249"/>
      <c r="M45" s="41"/>
      <c r="N45" s="61">
        <v>27</v>
      </c>
      <c r="O45" s="237"/>
      <c r="P45" s="237"/>
      <c r="Q45" s="238"/>
      <c r="R45" s="238"/>
      <c r="S45" s="239"/>
      <c r="T45" s="239"/>
      <c r="U45" s="238"/>
      <c r="V45" s="238"/>
      <c r="W45" s="256">
        <f t="shared" si="1"/>
        <v>0</v>
      </c>
      <c r="X45" s="257"/>
    </row>
    <row r="46" spans="1:24" ht="22.5" customHeight="1" x14ac:dyDescent="0.25">
      <c r="A46" s="62">
        <v>28</v>
      </c>
      <c r="B46" s="250"/>
      <c r="C46" s="250"/>
      <c r="D46" s="251"/>
      <c r="E46" s="251"/>
      <c r="F46" s="252"/>
      <c r="G46" s="252"/>
      <c r="H46" s="251"/>
      <c r="I46" s="251"/>
      <c r="J46" s="253">
        <f t="shared" si="0"/>
        <v>0</v>
      </c>
      <c r="K46" s="254"/>
      <c r="L46" s="249"/>
      <c r="M46" s="41"/>
      <c r="N46" s="62">
        <v>28</v>
      </c>
      <c r="O46" s="250"/>
      <c r="P46" s="250"/>
      <c r="Q46" s="251"/>
      <c r="R46" s="251"/>
      <c r="S46" s="252"/>
      <c r="T46" s="252"/>
      <c r="U46" s="251"/>
      <c r="V46" s="251"/>
      <c r="W46" s="253">
        <f t="shared" si="1"/>
        <v>0</v>
      </c>
      <c r="X46" s="254"/>
    </row>
    <row r="47" spans="1:24" ht="22.5" customHeight="1" x14ac:dyDescent="0.25">
      <c r="A47" s="61">
        <v>29</v>
      </c>
      <c r="B47" s="237"/>
      <c r="C47" s="237"/>
      <c r="D47" s="238"/>
      <c r="E47" s="238"/>
      <c r="F47" s="239"/>
      <c r="G47" s="239"/>
      <c r="H47" s="238"/>
      <c r="I47" s="238"/>
      <c r="J47" s="240">
        <f t="shared" si="0"/>
        <v>0</v>
      </c>
      <c r="K47" s="240"/>
      <c r="L47" s="249"/>
      <c r="M47" s="41"/>
      <c r="N47" s="61">
        <v>29</v>
      </c>
      <c r="O47" s="237"/>
      <c r="P47" s="237"/>
      <c r="Q47" s="238"/>
      <c r="R47" s="238"/>
      <c r="S47" s="239"/>
      <c r="T47" s="239"/>
      <c r="U47" s="238"/>
      <c r="V47" s="238"/>
      <c r="W47" s="256">
        <f t="shared" si="1"/>
        <v>0</v>
      </c>
      <c r="X47" s="257"/>
    </row>
    <row r="48" spans="1:24" ht="22.5" customHeight="1" x14ac:dyDescent="0.25">
      <c r="A48" s="62">
        <v>30</v>
      </c>
      <c r="B48" s="250"/>
      <c r="C48" s="250"/>
      <c r="D48" s="251"/>
      <c r="E48" s="251"/>
      <c r="F48" s="252"/>
      <c r="G48" s="252"/>
      <c r="H48" s="251"/>
      <c r="I48" s="251"/>
      <c r="J48" s="253">
        <f t="shared" si="0"/>
        <v>0</v>
      </c>
      <c r="K48" s="254"/>
      <c r="L48" s="249"/>
      <c r="M48" s="41"/>
      <c r="N48" s="62">
        <v>30</v>
      </c>
      <c r="O48" s="250"/>
      <c r="P48" s="250"/>
      <c r="Q48" s="251"/>
      <c r="R48" s="251"/>
      <c r="S48" s="252"/>
      <c r="T48" s="252"/>
      <c r="U48" s="251"/>
      <c r="V48" s="251"/>
      <c r="W48" s="253">
        <f t="shared" si="1"/>
        <v>0</v>
      </c>
      <c r="X48" s="254"/>
    </row>
    <row r="49" spans="1:24" ht="22.5" customHeight="1" x14ac:dyDescent="0.25">
      <c r="A49" s="61">
        <v>31</v>
      </c>
      <c r="B49" s="237"/>
      <c r="C49" s="237"/>
      <c r="D49" s="238"/>
      <c r="E49" s="238"/>
      <c r="F49" s="239"/>
      <c r="G49" s="239"/>
      <c r="H49" s="238"/>
      <c r="I49" s="238"/>
      <c r="J49" s="240">
        <f t="shared" si="0"/>
        <v>0</v>
      </c>
      <c r="K49" s="240"/>
      <c r="L49" s="249"/>
      <c r="M49" s="41"/>
      <c r="N49" s="61">
        <v>31</v>
      </c>
      <c r="O49" s="237"/>
      <c r="P49" s="237"/>
      <c r="Q49" s="238"/>
      <c r="R49" s="238"/>
      <c r="S49" s="239"/>
      <c r="T49" s="239"/>
      <c r="U49" s="238"/>
      <c r="V49" s="238"/>
      <c r="W49" s="256">
        <f t="shared" si="1"/>
        <v>0</v>
      </c>
      <c r="X49" s="257"/>
    </row>
    <row r="50" spans="1:24" ht="22.5" customHeight="1" x14ac:dyDescent="0.25">
      <c r="A50" s="62">
        <v>32</v>
      </c>
      <c r="B50" s="250"/>
      <c r="C50" s="250"/>
      <c r="D50" s="251"/>
      <c r="E50" s="251"/>
      <c r="F50" s="252"/>
      <c r="G50" s="252"/>
      <c r="H50" s="251"/>
      <c r="I50" s="251"/>
      <c r="J50" s="253">
        <f t="shared" si="0"/>
        <v>0</v>
      </c>
      <c r="K50" s="254"/>
      <c r="L50" s="249"/>
      <c r="M50" s="41"/>
      <c r="N50" s="62">
        <v>32</v>
      </c>
      <c r="O50" s="250"/>
      <c r="P50" s="250"/>
      <c r="Q50" s="251"/>
      <c r="R50" s="251"/>
      <c r="S50" s="252"/>
      <c r="T50" s="252"/>
      <c r="U50" s="251"/>
      <c r="V50" s="251"/>
      <c r="W50" s="253">
        <f t="shared" si="1"/>
        <v>0</v>
      </c>
      <c r="X50" s="254"/>
    </row>
    <row r="51" spans="1:24" ht="22.5" customHeight="1" x14ac:dyDescent="0.25">
      <c r="A51" s="61">
        <v>33</v>
      </c>
      <c r="B51" s="237"/>
      <c r="C51" s="237"/>
      <c r="D51" s="238"/>
      <c r="E51" s="238"/>
      <c r="F51" s="239"/>
      <c r="G51" s="239"/>
      <c r="H51" s="238"/>
      <c r="I51" s="238"/>
      <c r="J51" s="240">
        <f t="shared" si="0"/>
        <v>0</v>
      </c>
      <c r="K51" s="240"/>
      <c r="L51" s="249"/>
      <c r="M51" s="41"/>
      <c r="N51" s="61">
        <v>33</v>
      </c>
      <c r="O51" s="237"/>
      <c r="P51" s="237"/>
      <c r="Q51" s="238"/>
      <c r="R51" s="238"/>
      <c r="S51" s="239"/>
      <c r="T51" s="239"/>
      <c r="U51" s="238"/>
      <c r="V51" s="238"/>
      <c r="W51" s="256">
        <f t="shared" si="1"/>
        <v>0</v>
      </c>
      <c r="X51" s="257"/>
    </row>
    <row r="52" spans="1:24" ht="22.5" customHeight="1" x14ac:dyDescent="0.25">
      <c r="A52" s="62">
        <v>34</v>
      </c>
      <c r="B52" s="250"/>
      <c r="C52" s="250"/>
      <c r="D52" s="251"/>
      <c r="E52" s="251"/>
      <c r="F52" s="252"/>
      <c r="G52" s="252"/>
      <c r="H52" s="251"/>
      <c r="I52" s="251"/>
      <c r="J52" s="253">
        <f t="shared" si="0"/>
        <v>0</v>
      </c>
      <c r="K52" s="254"/>
      <c r="L52" s="249"/>
      <c r="M52" s="41"/>
      <c r="N52" s="62">
        <v>34</v>
      </c>
      <c r="O52" s="250"/>
      <c r="P52" s="250"/>
      <c r="Q52" s="251"/>
      <c r="R52" s="251"/>
      <c r="S52" s="252"/>
      <c r="T52" s="252"/>
      <c r="U52" s="251"/>
      <c r="V52" s="251"/>
      <c r="W52" s="253">
        <f t="shared" si="1"/>
        <v>0</v>
      </c>
      <c r="X52" s="254"/>
    </row>
    <row r="53" spans="1:24" ht="22.5" customHeight="1" x14ac:dyDescent="0.25">
      <c r="A53" s="61">
        <v>35</v>
      </c>
      <c r="B53" s="237"/>
      <c r="C53" s="237"/>
      <c r="D53" s="238"/>
      <c r="E53" s="238"/>
      <c r="F53" s="239"/>
      <c r="G53" s="239"/>
      <c r="H53" s="238"/>
      <c r="I53" s="238"/>
      <c r="J53" s="240">
        <f t="shared" si="0"/>
        <v>0</v>
      </c>
      <c r="K53" s="240"/>
      <c r="L53" s="249"/>
      <c r="M53" s="41"/>
      <c r="N53" s="61">
        <v>35</v>
      </c>
      <c r="O53" s="237"/>
      <c r="P53" s="237"/>
      <c r="Q53" s="238"/>
      <c r="R53" s="238"/>
      <c r="S53" s="239"/>
      <c r="T53" s="239"/>
      <c r="U53" s="238"/>
      <c r="V53" s="238"/>
      <c r="W53" s="256">
        <f t="shared" si="1"/>
        <v>0</v>
      </c>
      <c r="X53" s="257"/>
    </row>
    <row r="54" spans="1:24" ht="22.5" customHeight="1" x14ac:dyDescent="0.25">
      <c r="A54" s="62">
        <v>36</v>
      </c>
      <c r="B54" s="250"/>
      <c r="C54" s="250"/>
      <c r="D54" s="251"/>
      <c r="E54" s="251"/>
      <c r="F54" s="252"/>
      <c r="G54" s="252"/>
      <c r="H54" s="251"/>
      <c r="I54" s="251"/>
      <c r="J54" s="253">
        <f t="shared" si="0"/>
        <v>0</v>
      </c>
      <c r="K54" s="254"/>
      <c r="L54" s="249"/>
      <c r="M54" s="41"/>
      <c r="N54" s="62">
        <v>36</v>
      </c>
      <c r="O54" s="250"/>
      <c r="P54" s="250"/>
      <c r="Q54" s="251"/>
      <c r="R54" s="251"/>
      <c r="S54" s="252"/>
      <c r="T54" s="252"/>
      <c r="U54" s="251"/>
      <c r="V54" s="251"/>
      <c r="W54" s="253">
        <f t="shared" si="1"/>
        <v>0</v>
      </c>
      <c r="X54" s="254"/>
    </row>
    <row r="55" spans="1:24" ht="22.5" customHeight="1" x14ac:dyDescent="0.25">
      <c r="A55" s="61">
        <v>37</v>
      </c>
      <c r="B55" s="237"/>
      <c r="C55" s="237"/>
      <c r="D55" s="238"/>
      <c r="E55" s="238"/>
      <c r="F55" s="239"/>
      <c r="G55" s="239"/>
      <c r="H55" s="238"/>
      <c r="I55" s="238"/>
      <c r="J55" s="240">
        <f t="shared" si="0"/>
        <v>0</v>
      </c>
      <c r="K55" s="240"/>
      <c r="L55" s="249"/>
      <c r="M55" s="41"/>
      <c r="N55" s="61">
        <v>37</v>
      </c>
      <c r="O55" s="237"/>
      <c r="P55" s="237"/>
      <c r="Q55" s="238"/>
      <c r="R55" s="238"/>
      <c r="S55" s="239"/>
      <c r="T55" s="239"/>
      <c r="U55" s="238"/>
      <c r="V55" s="238"/>
      <c r="W55" s="256">
        <f t="shared" si="1"/>
        <v>0</v>
      </c>
      <c r="X55" s="257"/>
    </row>
    <row r="56" spans="1:24" ht="22.5" customHeight="1" x14ac:dyDescent="0.25">
      <c r="A56" s="62">
        <v>38</v>
      </c>
      <c r="B56" s="250"/>
      <c r="C56" s="250"/>
      <c r="D56" s="251"/>
      <c r="E56" s="251"/>
      <c r="F56" s="252"/>
      <c r="G56" s="252"/>
      <c r="H56" s="251"/>
      <c r="I56" s="251"/>
      <c r="J56" s="253">
        <f t="shared" si="0"/>
        <v>0</v>
      </c>
      <c r="K56" s="254"/>
      <c r="L56" s="249"/>
      <c r="M56" s="41"/>
      <c r="N56" s="62">
        <v>38</v>
      </c>
      <c r="O56" s="250"/>
      <c r="P56" s="250"/>
      <c r="Q56" s="251"/>
      <c r="R56" s="251"/>
      <c r="S56" s="252"/>
      <c r="T56" s="252"/>
      <c r="U56" s="251"/>
      <c r="V56" s="251"/>
      <c r="W56" s="253">
        <f t="shared" si="1"/>
        <v>0</v>
      </c>
      <c r="X56" s="254"/>
    </row>
    <row r="57" spans="1:24" ht="22.5" customHeight="1" x14ac:dyDescent="0.25">
      <c r="A57" s="61">
        <v>39</v>
      </c>
      <c r="B57" s="237"/>
      <c r="C57" s="237"/>
      <c r="D57" s="238"/>
      <c r="E57" s="238"/>
      <c r="F57" s="239"/>
      <c r="G57" s="239"/>
      <c r="H57" s="238"/>
      <c r="I57" s="238"/>
      <c r="J57" s="240">
        <f t="shared" si="0"/>
        <v>0</v>
      </c>
      <c r="K57" s="240"/>
      <c r="L57" s="249"/>
      <c r="M57" s="41"/>
      <c r="N57" s="61">
        <v>39</v>
      </c>
      <c r="O57" s="237"/>
      <c r="P57" s="237"/>
      <c r="Q57" s="238"/>
      <c r="R57" s="238"/>
      <c r="S57" s="239"/>
      <c r="T57" s="239"/>
      <c r="U57" s="238"/>
      <c r="V57" s="238"/>
      <c r="W57" s="256">
        <f t="shared" si="1"/>
        <v>0</v>
      </c>
      <c r="X57" s="257"/>
    </row>
    <row r="58" spans="1:24" ht="22.5" customHeight="1" x14ac:dyDescent="0.25">
      <c r="A58" s="62">
        <v>40</v>
      </c>
      <c r="B58" s="250"/>
      <c r="C58" s="250"/>
      <c r="D58" s="251"/>
      <c r="E58" s="251"/>
      <c r="F58" s="252"/>
      <c r="G58" s="252"/>
      <c r="H58" s="251"/>
      <c r="I58" s="251"/>
      <c r="J58" s="253">
        <f t="shared" si="0"/>
        <v>0</v>
      </c>
      <c r="K58" s="254"/>
      <c r="L58" s="249"/>
      <c r="M58" s="41"/>
      <c r="N58" s="62">
        <v>40</v>
      </c>
      <c r="O58" s="250"/>
      <c r="P58" s="250"/>
      <c r="Q58" s="251"/>
      <c r="R58" s="251"/>
      <c r="S58" s="252"/>
      <c r="T58" s="252"/>
      <c r="U58" s="251"/>
      <c r="V58" s="251"/>
      <c r="W58" s="253">
        <f t="shared" si="1"/>
        <v>0</v>
      </c>
      <c r="X58" s="254"/>
    </row>
    <row r="59" spans="1:24" ht="22.5" customHeight="1" x14ac:dyDescent="0.25">
      <c r="A59" s="61">
        <v>41</v>
      </c>
      <c r="B59" s="237"/>
      <c r="C59" s="237"/>
      <c r="D59" s="238"/>
      <c r="E59" s="238"/>
      <c r="F59" s="239"/>
      <c r="G59" s="239"/>
      <c r="H59" s="238"/>
      <c r="I59" s="238"/>
      <c r="J59" s="240">
        <f t="shared" si="0"/>
        <v>0</v>
      </c>
      <c r="K59" s="240"/>
      <c r="L59" s="249"/>
      <c r="M59" s="41"/>
      <c r="N59" s="61">
        <v>41</v>
      </c>
      <c r="O59" s="237"/>
      <c r="P59" s="237"/>
      <c r="Q59" s="238"/>
      <c r="R59" s="238"/>
      <c r="S59" s="239"/>
      <c r="T59" s="239"/>
      <c r="U59" s="238"/>
      <c r="V59" s="238"/>
      <c r="W59" s="256">
        <f t="shared" si="1"/>
        <v>0</v>
      </c>
      <c r="X59" s="257"/>
    </row>
    <row r="60" spans="1:24" ht="22.5" customHeight="1" x14ac:dyDescent="0.25">
      <c r="A60" s="62">
        <v>42</v>
      </c>
      <c r="B60" s="250"/>
      <c r="C60" s="250"/>
      <c r="D60" s="251"/>
      <c r="E60" s="251"/>
      <c r="F60" s="252"/>
      <c r="G60" s="252"/>
      <c r="H60" s="251"/>
      <c r="I60" s="251"/>
      <c r="J60" s="253">
        <f t="shared" si="0"/>
        <v>0</v>
      </c>
      <c r="K60" s="254"/>
      <c r="L60" s="249"/>
      <c r="M60" s="41"/>
      <c r="N60" s="62">
        <v>42</v>
      </c>
      <c r="O60" s="250"/>
      <c r="P60" s="250"/>
      <c r="Q60" s="251"/>
      <c r="R60" s="251"/>
      <c r="S60" s="252"/>
      <c r="T60" s="252"/>
      <c r="U60" s="251"/>
      <c r="V60" s="251"/>
      <c r="W60" s="253">
        <f t="shared" si="1"/>
        <v>0</v>
      </c>
      <c r="X60" s="254"/>
    </row>
    <row r="61" spans="1:24" ht="22.5" customHeight="1" x14ac:dyDescent="0.25">
      <c r="A61" s="61">
        <v>43</v>
      </c>
      <c r="B61" s="237"/>
      <c r="C61" s="237"/>
      <c r="D61" s="238"/>
      <c r="E61" s="238"/>
      <c r="F61" s="239"/>
      <c r="G61" s="239"/>
      <c r="H61" s="238"/>
      <c r="I61" s="238"/>
      <c r="J61" s="240">
        <f t="shared" si="0"/>
        <v>0</v>
      </c>
      <c r="K61" s="240"/>
      <c r="L61" s="249"/>
      <c r="M61" s="41"/>
      <c r="N61" s="61">
        <v>43</v>
      </c>
      <c r="O61" s="237"/>
      <c r="P61" s="237"/>
      <c r="Q61" s="238"/>
      <c r="R61" s="238"/>
      <c r="S61" s="239"/>
      <c r="T61" s="239"/>
      <c r="U61" s="238"/>
      <c r="V61" s="238"/>
      <c r="W61" s="256">
        <f t="shared" si="1"/>
        <v>0</v>
      </c>
      <c r="X61" s="257"/>
    </row>
    <row r="62" spans="1:24" ht="22.5" customHeight="1" x14ac:dyDescent="0.25">
      <c r="A62" s="62">
        <v>44</v>
      </c>
      <c r="B62" s="250"/>
      <c r="C62" s="250"/>
      <c r="D62" s="251"/>
      <c r="E62" s="251"/>
      <c r="F62" s="252"/>
      <c r="G62" s="252"/>
      <c r="H62" s="251"/>
      <c r="I62" s="251"/>
      <c r="J62" s="253">
        <f t="shared" si="0"/>
        <v>0</v>
      </c>
      <c r="K62" s="254"/>
      <c r="L62" s="249"/>
      <c r="M62" s="41"/>
      <c r="N62" s="62">
        <v>44</v>
      </c>
      <c r="O62" s="250"/>
      <c r="P62" s="250"/>
      <c r="Q62" s="251"/>
      <c r="R62" s="251"/>
      <c r="S62" s="252"/>
      <c r="T62" s="252"/>
      <c r="U62" s="251"/>
      <c r="V62" s="251"/>
      <c r="W62" s="253">
        <f t="shared" si="1"/>
        <v>0</v>
      </c>
      <c r="X62" s="254"/>
    </row>
    <row r="63" spans="1:24" ht="22.5" customHeight="1" x14ac:dyDescent="0.25">
      <c r="A63" s="61">
        <v>45</v>
      </c>
      <c r="B63" s="237"/>
      <c r="C63" s="237"/>
      <c r="D63" s="238"/>
      <c r="E63" s="238"/>
      <c r="F63" s="239"/>
      <c r="G63" s="239"/>
      <c r="H63" s="238"/>
      <c r="I63" s="238"/>
      <c r="J63" s="240">
        <f t="shared" si="0"/>
        <v>0</v>
      </c>
      <c r="K63" s="240"/>
      <c r="L63" s="249"/>
      <c r="M63" s="41"/>
      <c r="N63" s="61">
        <v>45</v>
      </c>
      <c r="O63" s="237"/>
      <c r="P63" s="237"/>
      <c r="Q63" s="238"/>
      <c r="R63" s="238"/>
      <c r="S63" s="239"/>
      <c r="T63" s="239"/>
      <c r="U63" s="238"/>
      <c r="V63" s="238"/>
      <c r="W63" s="256">
        <f t="shared" si="1"/>
        <v>0</v>
      </c>
      <c r="X63" s="257"/>
    </row>
    <row r="64" spans="1:24" ht="22.5" customHeight="1" x14ac:dyDescent="0.25">
      <c r="A64" s="62">
        <v>46</v>
      </c>
      <c r="B64" s="250"/>
      <c r="C64" s="250"/>
      <c r="D64" s="251"/>
      <c r="E64" s="251"/>
      <c r="F64" s="252"/>
      <c r="G64" s="252"/>
      <c r="H64" s="251"/>
      <c r="I64" s="251"/>
      <c r="J64" s="253">
        <f t="shared" si="0"/>
        <v>0</v>
      </c>
      <c r="K64" s="254"/>
      <c r="L64" s="249"/>
      <c r="M64" s="41"/>
      <c r="N64" s="62">
        <v>46</v>
      </c>
      <c r="O64" s="250"/>
      <c r="P64" s="250"/>
      <c r="Q64" s="251"/>
      <c r="R64" s="251"/>
      <c r="S64" s="252"/>
      <c r="T64" s="252"/>
      <c r="U64" s="251"/>
      <c r="V64" s="251"/>
      <c r="W64" s="253">
        <f t="shared" si="1"/>
        <v>0</v>
      </c>
      <c r="X64" s="254"/>
    </row>
    <row r="65" spans="1:24" ht="22.5" customHeight="1" x14ac:dyDescent="0.25">
      <c r="A65" s="61">
        <v>47</v>
      </c>
      <c r="B65" s="237"/>
      <c r="C65" s="237"/>
      <c r="D65" s="238"/>
      <c r="E65" s="238"/>
      <c r="F65" s="239"/>
      <c r="G65" s="239"/>
      <c r="H65" s="238"/>
      <c r="I65" s="238"/>
      <c r="J65" s="240">
        <f t="shared" si="0"/>
        <v>0</v>
      </c>
      <c r="K65" s="240"/>
      <c r="L65" s="249"/>
      <c r="M65" s="41"/>
      <c r="N65" s="61">
        <v>47</v>
      </c>
      <c r="O65" s="237"/>
      <c r="P65" s="237"/>
      <c r="Q65" s="238"/>
      <c r="R65" s="238"/>
      <c r="S65" s="239"/>
      <c r="T65" s="239"/>
      <c r="U65" s="238"/>
      <c r="V65" s="238"/>
      <c r="W65" s="256">
        <f t="shared" si="1"/>
        <v>0</v>
      </c>
      <c r="X65" s="257"/>
    </row>
    <row r="66" spans="1:24" ht="22.5" customHeight="1" x14ac:dyDescent="0.25">
      <c r="A66" s="62">
        <v>48</v>
      </c>
      <c r="B66" s="250"/>
      <c r="C66" s="250"/>
      <c r="D66" s="251"/>
      <c r="E66" s="251"/>
      <c r="F66" s="252"/>
      <c r="G66" s="252"/>
      <c r="H66" s="251"/>
      <c r="I66" s="251"/>
      <c r="J66" s="253">
        <f t="shared" si="0"/>
        <v>0</v>
      </c>
      <c r="K66" s="254"/>
      <c r="L66" s="249"/>
      <c r="M66" s="41"/>
      <c r="N66" s="62">
        <v>48</v>
      </c>
      <c r="O66" s="250"/>
      <c r="P66" s="250"/>
      <c r="Q66" s="251"/>
      <c r="R66" s="251"/>
      <c r="S66" s="252"/>
      <c r="T66" s="252"/>
      <c r="U66" s="251"/>
      <c r="V66" s="251"/>
      <c r="W66" s="253">
        <f t="shared" si="1"/>
        <v>0</v>
      </c>
      <c r="X66" s="254"/>
    </row>
    <row r="67" spans="1:24" ht="22.5" customHeight="1" x14ac:dyDescent="0.25">
      <c r="A67" s="61">
        <v>49</v>
      </c>
      <c r="B67" s="237"/>
      <c r="C67" s="237"/>
      <c r="D67" s="238"/>
      <c r="E67" s="238"/>
      <c r="F67" s="239"/>
      <c r="G67" s="239"/>
      <c r="H67" s="238"/>
      <c r="I67" s="238"/>
      <c r="J67" s="240">
        <f t="shared" si="0"/>
        <v>0</v>
      </c>
      <c r="K67" s="240"/>
      <c r="L67" s="249"/>
      <c r="M67" s="41"/>
      <c r="N67" s="61">
        <v>49</v>
      </c>
      <c r="O67" s="237"/>
      <c r="P67" s="237"/>
      <c r="Q67" s="238"/>
      <c r="R67" s="238"/>
      <c r="S67" s="239"/>
      <c r="T67" s="239"/>
      <c r="U67" s="238"/>
      <c r="V67" s="238"/>
      <c r="W67" s="256">
        <f t="shared" si="1"/>
        <v>0</v>
      </c>
      <c r="X67" s="257"/>
    </row>
    <row r="68" spans="1:24" ht="22.5" customHeight="1" x14ac:dyDescent="0.25">
      <c r="A68" s="62">
        <v>50</v>
      </c>
      <c r="B68" s="250"/>
      <c r="C68" s="250"/>
      <c r="D68" s="251"/>
      <c r="E68" s="251"/>
      <c r="F68" s="252"/>
      <c r="G68" s="252"/>
      <c r="H68" s="251"/>
      <c r="I68" s="251"/>
      <c r="J68" s="253">
        <f t="shared" si="0"/>
        <v>0</v>
      </c>
      <c r="K68" s="254"/>
      <c r="L68" s="249"/>
      <c r="M68" s="41"/>
      <c r="N68" s="62">
        <v>50</v>
      </c>
      <c r="O68" s="250"/>
      <c r="P68" s="250"/>
      <c r="Q68" s="251"/>
      <c r="R68" s="251"/>
      <c r="S68" s="252"/>
      <c r="T68" s="252"/>
      <c r="U68" s="251"/>
      <c r="V68" s="251"/>
      <c r="W68" s="253">
        <f t="shared" si="1"/>
        <v>0</v>
      </c>
      <c r="X68" s="254"/>
    </row>
    <row r="69" spans="1:24" ht="22.5" customHeight="1" x14ac:dyDescent="0.25">
      <c r="A69" s="61">
        <v>51</v>
      </c>
      <c r="B69" s="237"/>
      <c r="C69" s="237"/>
      <c r="D69" s="238"/>
      <c r="E69" s="238"/>
      <c r="F69" s="239"/>
      <c r="G69" s="239"/>
      <c r="H69" s="238"/>
      <c r="I69" s="238"/>
      <c r="J69" s="240">
        <f t="shared" si="0"/>
        <v>0</v>
      </c>
      <c r="K69" s="240"/>
      <c r="L69" s="249"/>
      <c r="M69" s="41"/>
      <c r="N69" s="61">
        <v>51</v>
      </c>
      <c r="O69" s="237"/>
      <c r="P69" s="237"/>
      <c r="Q69" s="238"/>
      <c r="R69" s="238"/>
      <c r="S69" s="239"/>
      <c r="T69" s="239"/>
      <c r="U69" s="238"/>
      <c r="V69" s="238"/>
      <c r="W69" s="256">
        <f t="shared" si="1"/>
        <v>0</v>
      </c>
      <c r="X69" s="257"/>
    </row>
    <row r="70" spans="1:24" ht="22.5" customHeight="1" x14ac:dyDescent="0.25">
      <c r="A70" s="62">
        <v>52</v>
      </c>
      <c r="B70" s="250"/>
      <c r="C70" s="250"/>
      <c r="D70" s="251"/>
      <c r="E70" s="251"/>
      <c r="F70" s="252"/>
      <c r="G70" s="252"/>
      <c r="H70" s="251"/>
      <c r="I70" s="251"/>
      <c r="J70" s="253">
        <f t="shared" si="0"/>
        <v>0</v>
      </c>
      <c r="K70" s="254"/>
      <c r="L70" s="249"/>
      <c r="M70" s="41"/>
      <c r="N70" s="62">
        <v>52</v>
      </c>
      <c r="O70" s="250"/>
      <c r="P70" s="250"/>
      <c r="Q70" s="251"/>
      <c r="R70" s="251"/>
      <c r="S70" s="252"/>
      <c r="T70" s="252"/>
      <c r="U70" s="251"/>
      <c r="V70" s="251"/>
      <c r="W70" s="253">
        <f t="shared" si="1"/>
        <v>0</v>
      </c>
      <c r="X70" s="254"/>
    </row>
    <row r="71" spans="1:24" ht="22.5" customHeight="1" x14ac:dyDescent="0.25">
      <c r="A71" s="61">
        <v>53</v>
      </c>
      <c r="B71" s="237"/>
      <c r="C71" s="237"/>
      <c r="D71" s="238"/>
      <c r="E71" s="238"/>
      <c r="F71" s="239"/>
      <c r="G71" s="239"/>
      <c r="H71" s="238"/>
      <c r="I71" s="238"/>
      <c r="J71" s="240">
        <f t="shared" si="0"/>
        <v>0</v>
      </c>
      <c r="K71" s="240"/>
      <c r="L71" s="249"/>
      <c r="M71" s="41"/>
      <c r="N71" s="61">
        <v>53</v>
      </c>
      <c r="O71" s="237"/>
      <c r="P71" s="237"/>
      <c r="Q71" s="238"/>
      <c r="R71" s="238"/>
      <c r="S71" s="239"/>
      <c r="T71" s="239"/>
      <c r="U71" s="238"/>
      <c r="V71" s="238"/>
      <c r="W71" s="256">
        <f t="shared" si="1"/>
        <v>0</v>
      </c>
      <c r="X71" s="257"/>
    </row>
    <row r="72" spans="1:24" ht="22.5" customHeight="1" x14ac:dyDescent="0.25">
      <c r="A72" s="62">
        <v>54</v>
      </c>
      <c r="B72" s="250"/>
      <c r="C72" s="250"/>
      <c r="D72" s="251"/>
      <c r="E72" s="251"/>
      <c r="F72" s="252"/>
      <c r="G72" s="252"/>
      <c r="H72" s="251"/>
      <c r="I72" s="251"/>
      <c r="J72" s="253">
        <f t="shared" si="0"/>
        <v>0</v>
      </c>
      <c r="K72" s="254"/>
      <c r="L72" s="249"/>
      <c r="M72" s="41"/>
      <c r="N72" s="62">
        <v>54</v>
      </c>
      <c r="O72" s="250"/>
      <c r="P72" s="250"/>
      <c r="Q72" s="251"/>
      <c r="R72" s="251"/>
      <c r="S72" s="252"/>
      <c r="T72" s="252"/>
      <c r="U72" s="251"/>
      <c r="V72" s="251"/>
      <c r="W72" s="253">
        <f t="shared" si="1"/>
        <v>0</v>
      </c>
      <c r="X72" s="254"/>
    </row>
    <row r="73" spans="1:24" ht="22.5" customHeight="1" x14ac:dyDescent="0.25">
      <c r="A73" s="61">
        <v>55</v>
      </c>
      <c r="B73" s="237"/>
      <c r="C73" s="237"/>
      <c r="D73" s="238"/>
      <c r="E73" s="238"/>
      <c r="F73" s="239"/>
      <c r="G73" s="239"/>
      <c r="H73" s="238"/>
      <c r="I73" s="238"/>
      <c r="J73" s="240">
        <f t="shared" si="0"/>
        <v>0</v>
      </c>
      <c r="K73" s="240"/>
      <c r="L73" s="249"/>
      <c r="M73" s="41"/>
      <c r="N73" s="61">
        <v>55</v>
      </c>
      <c r="O73" s="237"/>
      <c r="P73" s="237"/>
      <c r="Q73" s="238"/>
      <c r="R73" s="238"/>
      <c r="S73" s="239"/>
      <c r="T73" s="239"/>
      <c r="U73" s="238"/>
      <c r="V73" s="238"/>
      <c r="W73" s="256">
        <f t="shared" si="1"/>
        <v>0</v>
      </c>
      <c r="X73" s="257"/>
    </row>
    <row r="74" spans="1:24" ht="22.5" customHeight="1" x14ac:dyDescent="0.25">
      <c r="A74" s="62">
        <v>56</v>
      </c>
      <c r="B74" s="250"/>
      <c r="C74" s="250"/>
      <c r="D74" s="251"/>
      <c r="E74" s="251"/>
      <c r="F74" s="252"/>
      <c r="G74" s="252"/>
      <c r="H74" s="251"/>
      <c r="I74" s="251"/>
      <c r="J74" s="253">
        <f t="shared" si="0"/>
        <v>0</v>
      </c>
      <c r="K74" s="254"/>
      <c r="L74" s="249"/>
      <c r="M74" s="41"/>
      <c r="N74" s="62">
        <v>56</v>
      </c>
      <c r="O74" s="250"/>
      <c r="P74" s="250"/>
      <c r="Q74" s="251"/>
      <c r="R74" s="251"/>
      <c r="S74" s="252"/>
      <c r="T74" s="252"/>
      <c r="U74" s="251"/>
      <c r="V74" s="251"/>
      <c r="W74" s="253">
        <f t="shared" si="1"/>
        <v>0</v>
      </c>
      <c r="X74" s="254"/>
    </row>
    <row r="75" spans="1:24" ht="22.5" customHeight="1" x14ac:dyDescent="0.25">
      <c r="A75" s="61">
        <v>57</v>
      </c>
      <c r="B75" s="237"/>
      <c r="C75" s="237"/>
      <c r="D75" s="238"/>
      <c r="E75" s="238"/>
      <c r="F75" s="239"/>
      <c r="G75" s="239"/>
      <c r="H75" s="238"/>
      <c r="I75" s="238"/>
      <c r="J75" s="240">
        <f t="shared" si="0"/>
        <v>0</v>
      </c>
      <c r="K75" s="240"/>
      <c r="L75" s="249"/>
      <c r="M75" s="41"/>
      <c r="N75" s="61">
        <v>57</v>
      </c>
      <c r="O75" s="237"/>
      <c r="P75" s="237"/>
      <c r="Q75" s="238"/>
      <c r="R75" s="238"/>
      <c r="S75" s="239"/>
      <c r="T75" s="239"/>
      <c r="U75" s="238"/>
      <c r="V75" s="238"/>
      <c r="W75" s="256">
        <f t="shared" si="1"/>
        <v>0</v>
      </c>
      <c r="X75" s="257"/>
    </row>
    <row r="76" spans="1:24" ht="22.5" customHeight="1" x14ac:dyDescent="0.25">
      <c r="A76" s="62">
        <v>58</v>
      </c>
      <c r="B76" s="250"/>
      <c r="C76" s="250"/>
      <c r="D76" s="251"/>
      <c r="E76" s="251"/>
      <c r="F76" s="252"/>
      <c r="G76" s="252"/>
      <c r="H76" s="251"/>
      <c r="I76" s="251"/>
      <c r="J76" s="253">
        <f t="shared" si="0"/>
        <v>0</v>
      </c>
      <c r="K76" s="254"/>
      <c r="L76" s="249"/>
      <c r="M76" s="41"/>
      <c r="N76" s="62">
        <v>58</v>
      </c>
      <c r="O76" s="250"/>
      <c r="P76" s="250"/>
      <c r="Q76" s="251"/>
      <c r="R76" s="251"/>
      <c r="S76" s="252"/>
      <c r="T76" s="252"/>
      <c r="U76" s="251"/>
      <c r="V76" s="251"/>
      <c r="W76" s="253">
        <f t="shared" si="1"/>
        <v>0</v>
      </c>
      <c r="X76" s="254"/>
    </row>
    <row r="77" spans="1:24" ht="22.5" customHeight="1" x14ac:dyDescent="0.25">
      <c r="A77" s="61">
        <v>59</v>
      </c>
      <c r="B77" s="237"/>
      <c r="C77" s="237"/>
      <c r="D77" s="238"/>
      <c r="E77" s="238"/>
      <c r="F77" s="239"/>
      <c r="G77" s="239"/>
      <c r="H77" s="238"/>
      <c r="I77" s="238"/>
      <c r="J77" s="240">
        <f t="shared" si="0"/>
        <v>0</v>
      </c>
      <c r="K77" s="240"/>
      <c r="L77" s="249"/>
      <c r="M77" s="41"/>
      <c r="N77" s="61">
        <v>59</v>
      </c>
      <c r="O77" s="237"/>
      <c r="P77" s="237"/>
      <c r="Q77" s="238"/>
      <c r="R77" s="238"/>
      <c r="S77" s="239"/>
      <c r="T77" s="239"/>
      <c r="U77" s="238"/>
      <c r="V77" s="238"/>
      <c r="W77" s="256">
        <f t="shared" si="1"/>
        <v>0</v>
      </c>
      <c r="X77" s="257"/>
    </row>
    <row r="78" spans="1:24" ht="22.5" customHeight="1" x14ac:dyDescent="0.25">
      <c r="A78" s="62">
        <v>60</v>
      </c>
      <c r="B78" s="250"/>
      <c r="C78" s="250"/>
      <c r="D78" s="251"/>
      <c r="E78" s="251"/>
      <c r="F78" s="252"/>
      <c r="G78" s="252"/>
      <c r="H78" s="251"/>
      <c r="I78" s="251"/>
      <c r="J78" s="253">
        <f t="shared" si="0"/>
        <v>0</v>
      </c>
      <c r="K78" s="254"/>
      <c r="L78" s="249"/>
      <c r="M78" s="41"/>
      <c r="N78" s="62">
        <v>60</v>
      </c>
      <c r="O78" s="250"/>
      <c r="P78" s="250"/>
      <c r="Q78" s="251"/>
      <c r="R78" s="251"/>
      <c r="S78" s="252"/>
      <c r="T78" s="252"/>
      <c r="U78" s="251"/>
      <c r="V78" s="251"/>
      <c r="W78" s="253">
        <f t="shared" si="1"/>
        <v>0</v>
      </c>
      <c r="X78" s="254"/>
    </row>
    <row r="79" spans="1:24" ht="22.5" customHeight="1" x14ac:dyDescent="0.25">
      <c r="A79" s="61">
        <v>61</v>
      </c>
      <c r="B79" s="237"/>
      <c r="C79" s="237"/>
      <c r="D79" s="238"/>
      <c r="E79" s="238"/>
      <c r="F79" s="239"/>
      <c r="G79" s="239"/>
      <c r="H79" s="238"/>
      <c r="I79" s="238"/>
      <c r="J79" s="240">
        <f t="shared" si="0"/>
        <v>0</v>
      </c>
      <c r="K79" s="240"/>
      <c r="L79" s="249"/>
      <c r="M79" s="41"/>
      <c r="N79" s="61">
        <v>61</v>
      </c>
      <c r="O79" s="237"/>
      <c r="P79" s="237"/>
      <c r="Q79" s="238"/>
      <c r="R79" s="238"/>
      <c r="S79" s="239"/>
      <c r="T79" s="239"/>
      <c r="U79" s="238"/>
      <c r="V79" s="238"/>
      <c r="W79" s="256">
        <f t="shared" si="1"/>
        <v>0</v>
      </c>
      <c r="X79" s="257"/>
    </row>
    <row r="80" spans="1:24" ht="22.5" customHeight="1" x14ac:dyDescent="0.25">
      <c r="A80" s="62">
        <v>62</v>
      </c>
      <c r="B80" s="250"/>
      <c r="C80" s="250"/>
      <c r="D80" s="251"/>
      <c r="E80" s="251"/>
      <c r="F80" s="252"/>
      <c r="G80" s="252"/>
      <c r="H80" s="251"/>
      <c r="I80" s="251"/>
      <c r="J80" s="253">
        <f t="shared" si="0"/>
        <v>0</v>
      </c>
      <c r="K80" s="254"/>
      <c r="L80" s="249"/>
      <c r="M80" s="41"/>
      <c r="N80" s="62">
        <v>62</v>
      </c>
      <c r="O80" s="250"/>
      <c r="P80" s="250"/>
      <c r="Q80" s="251"/>
      <c r="R80" s="251"/>
      <c r="S80" s="252"/>
      <c r="T80" s="252"/>
      <c r="U80" s="251"/>
      <c r="V80" s="251"/>
      <c r="W80" s="253">
        <f t="shared" si="1"/>
        <v>0</v>
      </c>
      <c r="X80" s="254"/>
    </row>
    <row r="81" spans="1:24" ht="22.5" customHeight="1" x14ac:dyDescent="0.25">
      <c r="A81" s="61">
        <v>63</v>
      </c>
      <c r="B81" s="237"/>
      <c r="C81" s="237"/>
      <c r="D81" s="238"/>
      <c r="E81" s="238"/>
      <c r="F81" s="239"/>
      <c r="G81" s="239"/>
      <c r="H81" s="238"/>
      <c r="I81" s="238"/>
      <c r="J81" s="240">
        <f t="shared" si="0"/>
        <v>0</v>
      </c>
      <c r="K81" s="240"/>
      <c r="L81" s="249"/>
      <c r="M81" s="41"/>
      <c r="N81" s="61">
        <v>63</v>
      </c>
      <c r="O81" s="237"/>
      <c r="P81" s="237"/>
      <c r="Q81" s="238"/>
      <c r="R81" s="238"/>
      <c r="S81" s="239"/>
      <c r="T81" s="239"/>
      <c r="U81" s="238"/>
      <c r="V81" s="238"/>
      <c r="W81" s="256">
        <f t="shared" si="1"/>
        <v>0</v>
      </c>
      <c r="X81" s="257"/>
    </row>
    <row r="82" spans="1:24" ht="22.5" customHeight="1" x14ac:dyDescent="0.25">
      <c r="A82" s="62">
        <v>64</v>
      </c>
      <c r="B82" s="250"/>
      <c r="C82" s="250"/>
      <c r="D82" s="251"/>
      <c r="E82" s="251"/>
      <c r="F82" s="252"/>
      <c r="G82" s="252"/>
      <c r="H82" s="251"/>
      <c r="I82" s="251"/>
      <c r="J82" s="253">
        <f t="shared" si="0"/>
        <v>0</v>
      </c>
      <c r="K82" s="254"/>
      <c r="L82" s="249"/>
      <c r="M82" s="41"/>
      <c r="N82" s="62">
        <v>64</v>
      </c>
      <c r="O82" s="250"/>
      <c r="P82" s="250"/>
      <c r="Q82" s="251"/>
      <c r="R82" s="251"/>
      <c r="S82" s="252"/>
      <c r="T82" s="252"/>
      <c r="U82" s="251"/>
      <c r="V82" s="251"/>
      <c r="W82" s="253">
        <f t="shared" si="1"/>
        <v>0</v>
      </c>
      <c r="X82" s="254"/>
    </row>
    <row r="83" spans="1:24" ht="22.5" customHeight="1" x14ac:dyDescent="0.25">
      <c r="A83" s="61">
        <v>65</v>
      </c>
      <c r="B83" s="237"/>
      <c r="C83" s="237"/>
      <c r="D83" s="238"/>
      <c r="E83" s="238"/>
      <c r="F83" s="239"/>
      <c r="G83" s="239"/>
      <c r="H83" s="238"/>
      <c r="I83" s="238"/>
      <c r="J83" s="240">
        <f t="shared" si="0"/>
        <v>0</v>
      </c>
      <c r="K83" s="240"/>
      <c r="L83" s="249"/>
      <c r="M83" s="41"/>
      <c r="N83" s="61">
        <v>65</v>
      </c>
      <c r="O83" s="237"/>
      <c r="P83" s="237"/>
      <c r="Q83" s="238"/>
      <c r="R83" s="238"/>
      <c r="S83" s="239"/>
      <c r="T83" s="239"/>
      <c r="U83" s="238"/>
      <c r="V83" s="238"/>
      <c r="W83" s="256">
        <f t="shared" si="1"/>
        <v>0</v>
      </c>
      <c r="X83" s="257"/>
    </row>
    <row r="84" spans="1:24" ht="22.5" customHeight="1" x14ac:dyDescent="0.25">
      <c r="A84" s="62">
        <v>66</v>
      </c>
      <c r="B84" s="250"/>
      <c r="C84" s="250"/>
      <c r="D84" s="251"/>
      <c r="E84" s="251"/>
      <c r="F84" s="252"/>
      <c r="G84" s="252"/>
      <c r="H84" s="251"/>
      <c r="I84" s="251"/>
      <c r="J84" s="253">
        <f t="shared" ref="J84:J147" si="2">D84*F84+H84</f>
        <v>0</v>
      </c>
      <c r="K84" s="254"/>
      <c r="L84" s="249"/>
      <c r="M84" s="41"/>
      <c r="N84" s="62">
        <v>66</v>
      </c>
      <c r="O84" s="250"/>
      <c r="P84" s="250"/>
      <c r="Q84" s="251"/>
      <c r="R84" s="251"/>
      <c r="S84" s="252"/>
      <c r="T84" s="252"/>
      <c r="U84" s="251"/>
      <c r="V84" s="251"/>
      <c r="W84" s="253">
        <f t="shared" ref="W84:W147" si="3">Q84*S84-U84</f>
        <v>0</v>
      </c>
      <c r="X84" s="254"/>
    </row>
    <row r="85" spans="1:24" ht="22.5" customHeight="1" x14ac:dyDescent="0.25">
      <c r="A85" s="61">
        <v>67</v>
      </c>
      <c r="B85" s="237"/>
      <c r="C85" s="237"/>
      <c r="D85" s="238"/>
      <c r="E85" s="238"/>
      <c r="F85" s="239"/>
      <c r="G85" s="239"/>
      <c r="H85" s="238"/>
      <c r="I85" s="238"/>
      <c r="J85" s="240">
        <f t="shared" si="2"/>
        <v>0</v>
      </c>
      <c r="K85" s="240"/>
      <c r="L85" s="249"/>
      <c r="M85" s="41"/>
      <c r="N85" s="61">
        <v>67</v>
      </c>
      <c r="O85" s="237"/>
      <c r="P85" s="237"/>
      <c r="Q85" s="238"/>
      <c r="R85" s="238"/>
      <c r="S85" s="239"/>
      <c r="T85" s="239"/>
      <c r="U85" s="238"/>
      <c r="V85" s="238"/>
      <c r="W85" s="256">
        <f t="shared" si="3"/>
        <v>0</v>
      </c>
      <c r="X85" s="257"/>
    </row>
    <row r="86" spans="1:24" ht="22.5" customHeight="1" x14ac:dyDescent="0.25">
      <c r="A86" s="62">
        <v>68</v>
      </c>
      <c r="B86" s="250"/>
      <c r="C86" s="250"/>
      <c r="D86" s="251"/>
      <c r="E86" s="251"/>
      <c r="F86" s="252"/>
      <c r="G86" s="252"/>
      <c r="H86" s="251"/>
      <c r="I86" s="251"/>
      <c r="J86" s="253">
        <f t="shared" si="2"/>
        <v>0</v>
      </c>
      <c r="K86" s="254"/>
      <c r="L86" s="249"/>
      <c r="M86" s="41"/>
      <c r="N86" s="62">
        <v>68</v>
      </c>
      <c r="O86" s="250"/>
      <c r="P86" s="250"/>
      <c r="Q86" s="251"/>
      <c r="R86" s="251"/>
      <c r="S86" s="252"/>
      <c r="T86" s="252"/>
      <c r="U86" s="251"/>
      <c r="V86" s="251"/>
      <c r="W86" s="253">
        <f t="shared" si="3"/>
        <v>0</v>
      </c>
      <c r="X86" s="254"/>
    </row>
    <row r="87" spans="1:24" ht="22.5" customHeight="1" x14ac:dyDescent="0.25">
      <c r="A87" s="61">
        <v>69</v>
      </c>
      <c r="B87" s="237"/>
      <c r="C87" s="237"/>
      <c r="D87" s="238"/>
      <c r="E87" s="238"/>
      <c r="F87" s="239"/>
      <c r="G87" s="239"/>
      <c r="H87" s="238"/>
      <c r="I87" s="238"/>
      <c r="J87" s="240">
        <f t="shared" si="2"/>
        <v>0</v>
      </c>
      <c r="K87" s="240"/>
      <c r="L87" s="249"/>
      <c r="M87" s="41"/>
      <c r="N87" s="61">
        <v>69</v>
      </c>
      <c r="O87" s="237"/>
      <c r="P87" s="237"/>
      <c r="Q87" s="238"/>
      <c r="R87" s="238"/>
      <c r="S87" s="239"/>
      <c r="T87" s="239"/>
      <c r="U87" s="238"/>
      <c r="V87" s="238"/>
      <c r="W87" s="256">
        <f t="shared" si="3"/>
        <v>0</v>
      </c>
      <c r="X87" s="257"/>
    </row>
    <row r="88" spans="1:24" ht="22.5" customHeight="1" x14ac:dyDescent="0.25">
      <c r="A88" s="62">
        <v>70</v>
      </c>
      <c r="B88" s="250"/>
      <c r="C88" s="250"/>
      <c r="D88" s="251"/>
      <c r="E88" s="251"/>
      <c r="F88" s="252"/>
      <c r="G88" s="252"/>
      <c r="H88" s="251"/>
      <c r="I88" s="251"/>
      <c r="J88" s="253">
        <f t="shared" si="2"/>
        <v>0</v>
      </c>
      <c r="K88" s="254"/>
      <c r="L88" s="249"/>
      <c r="M88" s="41"/>
      <c r="N88" s="62">
        <v>70</v>
      </c>
      <c r="O88" s="250"/>
      <c r="P88" s="250"/>
      <c r="Q88" s="251"/>
      <c r="R88" s="251"/>
      <c r="S88" s="252"/>
      <c r="T88" s="252"/>
      <c r="U88" s="251"/>
      <c r="V88" s="251"/>
      <c r="W88" s="253">
        <f t="shared" si="3"/>
        <v>0</v>
      </c>
      <c r="X88" s="254"/>
    </row>
    <row r="89" spans="1:24" ht="22.5" customHeight="1" x14ac:dyDescent="0.25">
      <c r="A89" s="61">
        <v>71</v>
      </c>
      <c r="B89" s="237"/>
      <c r="C89" s="237"/>
      <c r="D89" s="238"/>
      <c r="E89" s="238"/>
      <c r="F89" s="239"/>
      <c r="G89" s="239"/>
      <c r="H89" s="238"/>
      <c r="I89" s="238"/>
      <c r="J89" s="240">
        <f t="shared" si="2"/>
        <v>0</v>
      </c>
      <c r="K89" s="240"/>
      <c r="L89" s="249"/>
      <c r="M89" s="41"/>
      <c r="N89" s="61">
        <v>71</v>
      </c>
      <c r="O89" s="237"/>
      <c r="P89" s="237"/>
      <c r="Q89" s="238"/>
      <c r="R89" s="238"/>
      <c r="S89" s="239"/>
      <c r="T89" s="239"/>
      <c r="U89" s="238"/>
      <c r="V89" s="238"/>
      <c r="W89" s="256">
        <f t="shared" si="3"/>
        <v>0</v>
      </c>
      <c r="X89" s="257"/>
    </row>
    <row r="90" spans="1:24" ht="22.5" customHeight="1" x14ac:dyDescent="0.25">
      <c r="A90" s="62">
        <v>72</v>
      </c>
      <c r="B90" s="250"/>
      <c r="C90" s="250"/>
      <c r="D90" s="251"/>
      <c r="E90" s="251"/>
      <c r="F90" s="252"/>
      <c r="G90" s="252"/>
      <c r="H90" s="251"/>
      <c r="I90" s="251"/>
      <c r="J90" s="253">
        <f t="shared" si="2"/>
        <v>0</v>
      </c>
      <c r="K90" s="254"/>
      <c r="L90" s="249"/>
      <c r="M90" s="41"/>
      <c r="N90" s="62">
        <v>72</v>
      </c>
      <c r="O90" s="250"/>
      <c r="P90" s="250"/>
      <c r="Q90" s="251"/>
      <c r="R90" s="251"/>
      <c r="S90" s="252"/>
      <c r="T90" s="252"/>
      <c r="U90" s="251"/>
      <c r="V90" s="251"/>
      <c r="W90" s="253">
        <f t="shared" si="3"/>
        <v>0</v>
      </c>
      <c r="X90" s="254"/>
    </row>
    <row r="91" spans="1:24" ht="22.5" customHeight="1" x14ac:dyDescent="0.25">
      <c r="A91" s="61">
        <v>73</v>
      </c>
      <c r="B91" s="237"/>
      <c r="C91" s="237"/>
      <c r="D91" s="238"/>
      <c r="E91" s="238"/>
      <c r="F91" s="239"/>
      <c r="G91" s="239"/>
      <c r="H91" s="238"/>
      <c r="I91" s="238"/>
      <c r="J91" s="240">
        <f t="shared" si="2"/>
        <v>0</v>
      </c>
      <c r="K91" s="240"/>
      <c r="L91" s="249"/>
      <c r="M91" s="41"/>
      <c r="N91" s="61">
        <v>73</v>
      </c>
      <c r="O91" s="237"/>
      <c r="P91" s="237"/>
      <c r="Q91" s="238"/>
      <c r="R91" s="238"/>
      <c r="S91" s="239"/>
      <c r="T91" s="239"/>
      <c r="U91" s="238"/>
      <c r="V91" s="238"/>
      <c r="W91" s="256">
        <f t="shared" si="3"/>
        <v>0</v>
      </c>
      <c r="X91" s="257"/>
    </row>
    <row r="92" spans="1:24" ht="22.5" customHeight="1" x14ac:dyDescent="0.25">
      <c r="A92" s="62">
        <v>74</v>
      </c>
      <c r="B92" s="250"/>
      <c r="C92" s="250"/>
      <c r="D92" s="251"/>
      <c r="E92" s="251"/>
      <c r="F92" s="252"/>
      <c r="G92" s="252"/>
      <c r="H92" s="251"/>
      <c r="I92" s="251"/>
      <c r="J92" s="253">
        <f t="shared" si="2"/>
        <v>0</v>
      </c>
      <c r="K92" s="254"/>
      <c r="L92" s="249"/>
      <c r="M92" s="41"/>
      <c r="N92" s="62">
        <v>74</v>
      </c>
      <c r="O92" s="250"/>
      <c r="P92" s="250"/>
      <c r="Q92" s="251"/>
      <c r="R92" s="251"/>
      <c r="S92" s="252"/>
      <c r="T92" s="252"/>
      <c r="U92" s="251"/>
      <c r="V92" s="251"/>
      <c r="W92" s="253">
        <f t="shared" si="3"/>
        <v>0</v>
      </c>
      <c r="X92" s="254"/>
    </row>
    <row r="93" spans="1:24" ht="22.5" customHeight="1" x14ac:dyDescent="0.25">
      <c r="A93" s="61">
        <v>75</v>
      </c>
      <c r="B93" s="237"/>
      <c r="C93" s="237"/>
      <c r="D93" s="238"/>
      <c r="E93" s="238"/>
      <c r="F93" s="239"/>
      <c r="G93" s="239"/>
      <c r="H93" s="238"/>
      <c r="I93" s="238"/>
      <c r="J93" s="240">
        <f t="shared" si="2"/>
        <v>0</v>
      </c>
      <c r="K93" s="240"/>
      <c r="L93" s="249"/>
      <c r="M93" s="41"/>
      <c r="N93" s="61">
        <v>75</v>
      </c>
      <c r="O93" s="237"/>
      <c r="P93" s="237"/>
      <c r="Q93" s="238"/>
      <c r="R93" s="238"/>
      <c r="S93" s="239"/>
      <c r="T93" s="239"/>
      <c r="U93" s="238"/>
      <c r="V93" s="238"/>
      <c r="W93" s="256">
        <f t="shared" si="3"/>
        <v>0</v>
      </c>
      <c r="X93" s="257"/>
    </row>
    <row r="94" spans="1:24" ht="22.5" customHeight="1" x14ac:dyDescent="0.25">
      <c r="A94" s="62">
        <v>76</v>
      </c>
      <c r="B94" s="250"/>
      <c r="C94" s="250"/>
      <c r="D94" s="251"/>
      <c r="E94" s="251"/>
      <c r="F94" s="252"/>
      <c r="G94" s="252"/>
      <c r="H94" s="251"/>
      <c r="I94" s="251"/>
      <c r="J94" s="253">
        <f t="shared" si="2"/>
        <v>0</v>
      </c>
      <c r="K94" s="254"/>
      <c r="L94" s="249"/>
      <c r="M94" s="41"/>
      <c r="N94" s="62">
        <v>76</v>
      </c>
      <c r="O94" s="250"/>
      <c r="P94" s="250"/>
      <c r="Q94" s="251"/>
      <c r="R94" s="251"/>
      <c r="S94" s="252"/>
      <c r="T94" s="252"/>
      <c r="U94" s="251"/>
      <c r="V94" s="251"/>
      <c r="W94" s="253">
        <f t="shared" si="3"/>
        <v>0</v>
      </c>
      <c r="X94" s="254"/>
    </row>
    <row r="95" spans="1:24" ht="22.5" customHeight="1" x14ac:dyDescent="0.25">
      <c r="A95" s="61">
        <v>77</v>
      </c>
      <c r="B95" s="237"/>
      <c r="C95" s="237"/>
      <c r="D95" s="238"/>
      <c r="E95" s="238"/>
      <c r="F95" s="239"/>
      <c r="G95" s="239"/>
      <c r="H95" s="238"/>
      <c r="I95" s="238"/>
      <c r="J95" s="240">
        <f t="shared" si="2"/>
        <v>0</v>
      </c>
      <c r="K95" s="240"/>
      <c r="L95" s="249"/>
      <c r="M95" s="41"/>
      <c r="N95" s="61">
        <v>77</v>
      </c>
      <c r="O95" s="237"/>
      <c r="P95" s="237"/>
      <c r="Q95" s="238"/>
      <c r="R95" s="238"/>
      <c r="S95" s="239"/>
      <c r="T95" s="239"/>
      <c r="U95" s="238"/>
      <c r="V95" s="238"/>
      <c r="W95" s="256">
        <f t="shared" si="3"/>
        <v>0</v>
      </c>
      <c r="X95" s="257"/>
    </row>
    <row r="96" spans="1:24" ht="22.5" customHeight="1" x14ac:dyDescent="0.25">
      <c r="A96" s="62">
        <v>78</v>
      </c>
      <c r="B96" s="250"/>
      <c r="C96" s="250"/>
      <c r="D96" s="251"/>
      <c r="E96" s="251"/>
      <c r="F96" s="252"/>
      <c r="G96" s="252"/>
      <c r="H96" s="251"/>
      <c r="I96" s="251"/>
      <c r="J96" s="253">
        <f t="shared" si="2"/>
        <v>0</v>
      </c>
      <c r="K96" s="254"/>
      <c r="L96" s="249"/>
      <c r="M96" s="41"/>
      <c r="N96" s="62">
        <v>78</v>
      </c>
      <c r="O96" s="250"/>
      <c r="P96" s="250"/>
      <c r="Q96" s="251"/>
      <c r="R96" s="251"/>
      <c r="S96" s="252"/>
      <c r="T96" s="252"/>
      <c r="U96" s="251"/>
      <c r="V96" s="251"/>
      <c r="W96" s="253">
        <f t="shared" si="3"/>
        <v>0</v>
      </c>
      <c r="X96" s="254"/>
    </row>
    <row r="97" spans="1:24" ht="22.5" customHeight="1" x14ac:dyDescent="0.25">
      <c r="A97" s="61">
        <v>79</v>
      </c>
      <c r="B97" s="237"/>
      <c r="C97" s="237"/>
      <c r="D97" s="238"/>
      <c r="E97" s="238"/>
      <c r="F97" s="239"/>
      <c r="G97" s="239"/>
      <c r="H97" s="238"/>
      <c r="I97" s="238"/>
      <c r="J97" s="240">
        <f t="shared" si="2"/>
        <v>0</v>
      </c>
      <c r="K97" s="240"/>
      <c r="L97" s="249"/>
      <c r="M97" s="41"/>
      <c r="N97" s="61">
        <v>79</v>
      </c>
      <c r="O97" s="237"/>
      <c r="P97" s="237"/>
      <c r="Q97" s="238"/>
      <c r="R97" s="238"/>
      <c r="S97" s="239"/>
      <c r="T97" s="239"/>
      <c r="U97" s="238"/>
      <c r="V97" s="238"/>
      <c r="W97" s="256">
        <f t="shared" si="3"/>
        <v>0</v>
      </c>
      <c r="X97" s="257"/>
    </row>
    <row r="98" spans="1:24" ht="22.5" customHeight="1" x14ac:dyDescent="0.25">
      <c r="A98" s="62">
        <v>80</v>
      </c>
      <c r="B98" s="250"/>
      <c r="C98" s="250"/>
      <c r="D98" s="251"/>
      <c r="E98" s="251"/>
      <c r="F98" s="252"/>
      <c r="G98" s="252"/>
      <c r="H98" s="251"/>
      <c r="I98" s="251"/>
      <c r="J98" s="253">
        <f t="shared" si="2"/>
        <v>0</v>
      </c>
      <c r="K98" s="254"/>
      <c r="L98" s="249"/>
      <c r="M98" s="41"/>
      <c r="N98" s="62">
        <v>80</v>
      </c>
      <c r="O98" s="250"/>
      <c r="P98" s="250"/>
      <c r="Q98" s="251"/>
      <c r="R98" s="251"/>
      <c r="S98" s="252"/>
      <c r="T98" s="252"/>
      <c r="U98" s="251"/>
      <c r="V98" s="251"/>
      <c r="W98" s="253">
        <f t="shared" si="3"/>
        <v>0</v>
      </c>
      <c r="X98" s="254"/>
    </row>
    <row r="99" spans="1:24" ht="22.5" customHeight="1" x14ac:dyDescent="0.25">
      <c r="A99" s="61">
        <v>81</v>
      </c>
      <c r="B99" s="237"/>
      <c r="C99" s="237"/>
      <c r="D99" s="238"/>
      <c r="E99" s="238"/>
      <c r="F99" s="239"/>
      <c r="G99" s="239"/>
      <c r="H99" s="238"/>
      <c r="I99" s="238"/>
      <c r="J99" s="240">
        <f t="shared" si="2"/>
        <v>0</v>
      </c>
      <c r="K99" s="240"/>
      <c r="L99" s="249"/>
      <c r="M99" s="41"/>
      <c r="N99" s="61">
        <v>81</v>
      </c>
      <c r="O99" s="237"/>
      <c r="P99" s="237"/>
      <c r="Q99" s="238"/>
      <c r="R99" s="238"/>
      <c r="S99" s="239"/>
      <c r="T99" s="239"/>
      <c r="U99" s="238"/>
      <c r="V99" s="238"/>
      <c r="W99" s="256">
        <f t="shared" si="3"/>
        <v>0</v>
      </c>
      <c r="X99" s="257"/>
    </row>
    <row r="100" spans="1:24" ht="22.5" customHeight="1" x14ac:dyDescent="0.25">
      <c r="A100" s="62">
        <v>82</v>
      </c>
      <c r="B100" s="250"/>
      <c r="C100" s="250"/>
      <c r="D100" s="251"/>
      <c r="E100" s="251"/>
      <c r="F100" s="252"/>
      <c r="G100" s="252"/>
      <c r="H100" s="251"/>
      <c r="I100" s="251"/>
      <c r="J100" s="253">
        <f t="shared" si="2"/>
        <v>0</v>
      </c>
      <c r="K100" s="254"/>
      <c r="L100" s="249"/>
      <c r="M100" s="41"/>
      <c r="N100" s="62">
        <v>82</v>
      </c>
      <c r="O100" s="250"/>
      <c r="P100" s="250"/>
      <c r="Q100" s="251"/>
      <c r="R100" s="251"/>
      <c r="S100" s="252"/>
      <c r="T100" s="252"/>
      <c r="U100" s="251"/>
      <c r="V100" s="251"/>
      <c r="W100" s="253">
        <f t="shared" si="3"/>
        <v>0</v>
      </c>
      <c r="X100" s="254"/>
    </row>
    <row r="101" spans="1:24" ht="22.5" customHeight="1" x14ac:dyDescent="0.25">
      <c r="A101" s="61">
        <v>83</v>
      </c>
      <c r="B101" s="237"/>
      <c r="C101" s="237"/>
      <c r="D101" s="238"/>
      <c r="E101" s="238"/>
      <c r="F101" s="239"/>
      <c r="G101" s="239"/>
      <c r="H101" s="238"/>
      <c r="I101" s="238"/>
      <c r="J101" s="240">
        <f t="shared" si="2"/>
        <v>0</v>
      </c>
      <c r="K101" s="240"/>
      <c r="L101" s="249"/>
      <c r="M101" s="41"/>
      <c r="N101" s="61">
        <v>83</v>
      </c>
      <c r="O101" s="237"/>
      <c r="P101" s="237"/>
      <c r="Q101" s="238"/>
      <c r="R101" s="238"/>
      <c r="S101" s="239"/>
      <c r="T101" s="239"/>
      <c r="U101" s="238"/>
      <c r="V101" s="238"/>
      <c r="W101" s="256">
        <f t="shared" si="3"/>
        <v>0</v>
      </c>
      <c r="X101" s="257"/>
    </row>
    <row r="102" spans="1:24" ht="22.5" customHeight="1" x14ac:dyDescent="0.25">
      <c r="A102" s="62">
        <v>84</v>
      </c>
      <c r="B102" s="250"/>
      <c r="C102" s="250"/>
      <c r="D102" s="251"/>
      <c r="E102" s="251"/>
      <c r="F102" s="252"/>
      <c r="G102" s="252"/>
      <c r="H102" s="251"/>
      <c r="I102" s="251"/>
      <c r="J102" s="253">
        <f t="shared" si="2"/>
        <v>0</v>
      </c>
      <c r="K102" s="254"/>
      <c r="L102" s="249"/>
      <c r="M102" s="41"/>
      <c r="N102" s="62">
        <v>84</v>
      </c>
      <c r="O102" s="250"/>
      <c r="P102" s="250"/>
      <c r="Q102" s="251"/>
      <c r="R102" s="251"/>
      <c r="S102" s="252"/>
      <c r="T102" s="252"/>
      <c r="U102" s="251"/>
      <c r="V102" s="251"/>
      <c r="W102" s="253">
        <f t="shared" si="3"/>
        <v>0</v>
      </c>
      <c r="X102" s="254"/>
    </row>
    <row r="103" spans="1:24" ht="22.5" customHeight="1" x14ac:dyDescent="0.25">
      <c r="A103" s="61">
        <v>85</v>
      </c>
      <c r="B103" s="237"/>
      <c r="C103" s="237"/>
      <c r="D103" s="238"/>
      <c r="E103" s="238"/>
      <c r="F103" s="239"/>
      <c r="G103" s="239"/>
      <c r="H103" s="238"/>
      <c r="I103" s="238"/>
      <c r="J103" s="240">
        <f t="shared" si="2"/>
        <v>0</v>
      </c>
      <c r="K103" s="240"/>
      <c r="L103" s="249"/>
      <c r="M103" s="41"/>
      <c r="N103" s="61">
        <v>85</v>
      </c>
      <c r="O103" s="237"/>
      <c r="P103" s="237"/>
      <c r="Q103" s="238"/>
      <c r="R103" s="238"/>
      <c r="S103" s="239"/>
      <c r="T103" s="239"/>
      <c r="U103" s="238"/>
      <c r="V103" s="238"/>
      <c r="W103" s="256">
        <f t="shared" si="3"/>
        <v>0</v>
      </c>
      <c r="X103" s="257"/>
    </row>
    <row r="104" spans="1:24" ht="22.5" customHeight="1" x14ac:dyDescent="0.25">
      <c r="A104" s="62">
        <v>86</v>
      </c>
      <c r="B104" s="250"/>
      <c r="C104" s="250"/>
      <c r="D104" s="251"/>
      <c r="E104" s="251"/>
      <c r="F104" s="252"/>
      <c r="G104" s="252"/>
      <c r="H104" s="251"/>
      <c r="I104" s="251"/>
      <c r="J104" s="253">
        <f t="shared" si="2"/>
        <v>0</v>
      </c>
      <c r="K104" s="254"/>
      <c r="L104" s="249"/>
      <c r="M104" s="41"/>
      <c r="N104" s="62">
        <v>86</v>
      </c>
      <c r="O104" s="250"/>
      <c r="P104" s="250"/>
      <c r="Q104" s="251"/>
      <c r="R104" s="251"/>
      <c r="S104" s="252"/>
      <c r="T104" s="252"/>
      <c r="U104" s="251"/>
      <c r="V104" s="251"/>
      <c r="W104" s="253">
        <f t="shared" si="3"/>
        <v>0</v>
      </c>
      <c r="X104" s="254"/>
    </row>
    <row r="105" spans="1:24" ht="22.5" customHeight="1" x14ac:dyDescent="0.25">
      <c r="A105" s="61">
        <v>87</v>
      </c>
      <c r="B105" s="237"/>
      <c r="C105" s="237"/>
      <c r="D105" s="238"/>
      <c r="E105" s="238"/>
      <c r="F105" s="239"/>
      <c r="G105" s="239"/>
      <c r="H105" s="238"/>
      <c r="I105" s="238"/>
      <c r="J105" s="240">
        <f t="shared" si="2"/>
        <v>0</v>
      </c>
      <c r="K105" s="240"/>
      <c r="L105" s="249"/>
      <c r="M105" s="41"/>
      <c r="N105" s="61">
        <v>87</v>
      </c>
      <c r="O105" s="237"/>
      <c r="P105" s="237"/>
      <c r="Q105" s="238"/>
      <c r="R105" s="238"/>
      <c r="S105" s="239"/>
      <c r="T105" s="239"/>
      <c r="U105" s="238"/>
      <c r="V105" s="238"/>
      <c r="W105" s="256">
        <f t="shared" si="3"/>
        <v>0</v>
      </c>
      <c r="X105" s="257"/>
    </row>
    <row r="106" spans="1:24" ht="22.5" customHeight="1" x14ac:dyDescent="0.25">
      <c r="A106" s="62">
        <v>88</v>
      </c>
      <c r="B106" s="250"/>
      <c r="C106" s="250"/>
      <c r="D106" s="251"/>
      <c r="E106" s="251"/>
      <c r="F106" s="252"/>
      <c r="G106" s="252"/>
      <c r="H106" s="251"/>
      <c r="I106" s="251"/>
      <c r="J106" s="253">
        <f t="shared" si="2"/>
        <v>0</v>
      </c>
      <c r="K106" s="254"/>
      <c r="L106" s="249"/>
      <c r="M106" s="41"/>
      <c r="N106" s="62">
        <v>88</v>
      </c>
      <c r="O106" s="250"/>
      <c r="P106" s="250"/>
      <c r="Q106" s="251"/>
      <c r="R106" s="251"/>
      <c r="S106" s="252"/>
      <c r="T106" s="252"/>
      <c r="U106" s="251"/>
      <c r="V106" s="251"/>
      <c r="W106" s="253">
        <f t="shared" si="3"/>
        <v>0</v>
      </c>
      <c r="X106" s="254"/>
    </row>
    <row r="107" spans="1:24" ht="22.5" customHeight="1" x14ac:dyDescent="0.25">
      <c r="A107" s="61">
        <v>89</v>
      </c>
      <c r="B107" s="237"/>
      <c r="C107" s="237"/>
      <c r="D107" s="238"/>
      <c r="E107" s="238"/>
      <c r="F107" s="239"/>
      <c r="G107" s="239"/>
      <c r="H107" s="238"/>
      <c r="I107" s="238"/>
      <c r="J107" s="240">
        <f t="shared" si="2"/>
        <v>0</v>
      </c>
      <c r="K107" s="240"/>
      <c r="L107" s="249"/>
      <c r="M107" s="41"/>
      <c r="N107" s="61">
        <v>89</v>
      </c>
      <c r="O107" s="237"/>
      <c r="P107" s="237"/>
      <c r="Q107" s="238"/>
      <c r="R107" s="238"/>
      <c r="S107" s="239"/>
      <c r="T107" s="239"/>
      <c r="U107" s="238"/>
      <c r="V107" s="238"/>
      <c r="W107" s="256">
        <f t="shared" si="3"/>
        <v>0</v>
      </c>
      <c r="X107" s="257"/>
    </row>
    <row r="108" spans="1:24" ht="22.5" customHeight="1" x14ac:dyDescent="0.25">
      <c r="A108" s="62">
        <v>90</v>
      </c>
      <c r="B108" s="250"/>
      <c r="C108" s="250"/>
      <c r="D108" s="251"/>
      <c r="E108" s="251"/>
      <c r="F108" s="252"/>
      <c r="G108" s="252"/>
      <c r="H108" s="251"/>
      <c r="I108" s="251"/>
      <c r="J108" s="253">
        <f t="shared" si="2"/>
        <v>0</v>
      </c>
      <c r="K108" s="254"/>
      <c r="L108" s="249"/>
      <c r="M108" s="41"/>
      <c r="N108" s="62">
        <v>90</v>
      </c>
      <c r="O108" s="250"/>
      <c r="P108" s="250"/>
      <c r="Q108" s="251"/>
      <c r="R108" s="251"/>
      <c r="S108" s="252"/>
      <c r="T108" s="252"/>
      <c r="U108" s="251"/>
      <c r="V108" s="251"/>
      <c r="W108" s="253">
        <f t="shared" si="3"/>
        <v>0</v>
      </c>
      <c r="X108" s="254"/>
    </row>
    <row r="109" spans="1:24" ht="22.5" customHeight="1" x14ac:dyDescent="0.25">
      <c r="A109" s="61">
        <v>91</v>
      </c>
      <c r="B109" s="237"/>
      <c r="C109" s="237"/>
      <c r="D109" s="238"/>
      <c r="E109" s="238"/>
      <c r="F109" s="239"/>
      <c r="G109" s="239"/>
      <c r="H109" s="238"/>
      <c r="I109" s="238"/>
      <c r="J109" s="240">
        <f t="shared" si="2"/>
        <v>0</v>
      </c>
      <c r="K109" s="240"/>
      <c r="L109" s="249"/>
      <c r="M109" s="41"/>
      <c r="N109" s="61">
        <v>91</v>
      </c>
      <c r="O109" s="237"/>
      <c r="P109" s="237"/>
      <c r="Q109" s="238"/>
      <c r="R109" s="238"/>
      <c r="S109" s="239"/>
      <c r="T109" s="239"/>
      <c r="U109" s="238"/>
      <c r="V109" s="238"/>
      <c r="W109" s="256">
        <f t="shared" si="3"/>
        <v>0</v>
      </c>
      <c r="X109" s="257"/>
    </row>
    <row r="110" spans="1:24" ht="22.5" customHeight="1" x14ac:dyDescent="0.25">
      <c r="A110" s="62">
        <v>92</v>
      </c>
      <c r="B110" s="250"/>
      <c r="C110" s="250"/>
      <c r="D110" s="251"/>
      <c r="E110" s="251"/>
      <c r="F110" s="252"/>
      <c r="G110" s="252"/>
      <c r="H110" s="251"/>
      <c r="I110" s="251"/>
      <c r="J110" s="253">
        <f t="shared" si="2"/>
        <v>0</v>
      </c>
      <c r="K110" s="254"/>
      <c r="L110" s="249"/>
      <c r="M110" s="41"/>
      <c r="N110" s="62">
        <v>92</v>
      </c>
      <c r="O110" s="250"/>
      <c r="P110" s="250"/>
      <c r="Q110" s="251"/>
      <c r="R110" s="251"/>
      <c r="S110" s="252"/>
      <c r="T110" s="252"/>
      <c r="U110" s="251"/>
      <c r="V110" s="251"/>
      <c r="W110" s="253">
        <f t="shared" si="3"/>
        <v>0</v>
      </c>
      <c r="X110" s="254"/>
    </row>
    <row r="111" spans="1:24" ht="22.5" customHeight="1" x14ac:dyDescent="0.25">
      <c r="A111" s="61">
        <v>93</v>
      </c>
      <c r="B111" s="237"/>
      <c r="C111" s="237"/>
      <c r="D111" s="238"/>
      <c r="E111" s="238"/>
      <c r="F111" s="239"/>
      <c r="G111" s="239"/>
      <c r="H111" s="238"/>
      <c r="I111" s="238"/>
      <c r="J111" s="240">
        <f t="shared" si="2"/>
        <v>0</v>
      </c>
      <c r="K111" s="240"/>
      <c r="L111" s="249"/>
      <c r="M111" s="41"/>
      <c r="N111" s="61">
        <v>93</v>
      </c>
      <c r="O111" s="237"/>
      <c r="P111" s="237"/>
      <c r="Q111" s="238"/>
      <c r="R111" s="238"/>
      <c r="S111" s="239"/>
      <c r="T111" s="239"/>
      <c r="U111" s="238"/>
      <c r="V111" s="238"/>
      <c r="W111" s="256">
        <f t="shared" si="3"/>
        <v>0</v>
      </c>
      <c r="X111" s="257"/>
    </row>
    <row r="112" spans="1:24" ht="22.5" customHeight="1" x14ac:dyDescent="0.25">
      <c r="A112" s="62">
        <v>94</v>
      </c>
      <c r="B112" s="250"/>
      <c r="C112" s="250"/>
      <c r="D112" s="251"/>
      <c r="E112" s="251"/>
      <c r="F112" s="252"/>
      <c r="G112" s="252"/>
      <c r="H112" s="251"/>
      <c r="I112" s="251"/>
      <c r="J112" s="253">
        <f t="shared" si="2"/>
        <v>0</v>
      </c>
      <c r="K112" s="254"/>
      <c r="L112" s="249"/>
      <c r="M112" s="41"/>
      <c r="N112" s="62">
        <v>94</v>
      </c>
      <c r="O112" s="250"/>
      <c r="P112" s="250"/>
      <c r="Q112" s="251"/>
      <c r="R112" s="251"/>
      <c r="S112" s="252"/>
      <c r="T112" s="252"/>
      <c r="U112" s="251"/>
      <c r="V112" s="251"/>
      <c r="W112" s="253">
        <f t="shared" si="3"/>
        <v>0</v>
      </c>
      <c r="X112" s="254"/>
    </row>
    <row r="113" spans="1:24" ht="22.5" customHeight="1" x14ac:dyDescent="0.25">
      <c r="A113" s="61">
        <v>95</v>
      </c>
      <c r="B113" s="237"/>
      <c r="C113" s="237"/>
      <c r="D113" s="238"/>
      <c r="E113" s="238"/>
      <c r="F113" s="239"/>
      <c r="G113" s="239"/>
      <c r="H113" s="238"/>
      <c r="I113" s="238"/>
      <c r="J113" s="240">
        <f t="shared" si="2"/>
        <v>0</v>
      </c>
      <c r="K113" s="240"/>
      <c r="L113" s="249"/>
      <c r="M113" s="41"/>
      <c r="N113" s="61">
        <v>95</v>
      </c>
      <c r="O113" s="237"/>
      <c r="P113" s="237"/>
      <c r="Q113" s="238"/>
      <c r="R113" s="238"/>
      <c r="S113" s="239"/>
      <c r="T113" s="239"/>
      <c r="U113" s="238"/>
      <c r="V113" s="238"/>
      <c r="W113" s="256">
        <f t="shared" si="3"/>
        <v>0</v>
      </c>
      <c r="X113" s="257"/>
    </row>
    <row r="114" spans="1:24" ht="22.5" customHeight="1" x14ac:dyDescent="0.25">
      <c r="A114" s="62">
        <v>96</v>
      </c>
      <c r="B114" s="250"/>
      <c r="C114" s="250"/>
      <c r="D114" s="251"/>
      <c r="E114" s="251"/>
      <c r="F114" s="252"/>
      <c r="G114" s="252"/>
      <c r="H114" s="251"/>
      <c r="I114" s="251"/>
      <c r="J114" s="253">
        <f t="shared" si="2"/>
        <v>0</v>
      </c>
      <c r="K114" s="254"/>
      <c r="L114" s="249"/>
      <c r="M114" s="41"/>
      <c r="N114" s="62">
        <v>96</v>
      </c>
      <c r="O114" s="250"/>
      <c r="P114" s="250"/>
      <c r="Q114" s="251"/>
      <c r="R114" s="251"/>
      <c r="S114" s="252"/>
      <c r="T114" s="252"/>
      <c r="U114" s="251"/>
      <c r="V114" s="251"/>
      <c r="W114" s="253">
        <f t="shared" si="3"/>
        <v>0</v>
      </c>
      <c r="X114" s="254"/>
    </row>
    <row r="115" spans="1:24" ht="22.5" customHeight="1" x14ac:dyDescent="0.25">
      <c r="A115" s="61">
        <v>97</v>
      </c>
      <c r="B115" s="237"/>
      <c r="C115" s="237"/>
      <c r="D115" s="238"/>
      <c r="E115" s="238"/>
      <c r="F115" s="239"/>
      <c r="G115" s="239"/>
      <c r="H115" s="238"/>
      <c r="I115" s="238"/>
      <c r="J115" s="240">
        <f t="shared" si="2"/>
        <v>0</v>
      </c>
      <c r="K115" s="240"/>
      <c r="L115" s="249"/>
      <c r="M115" s="41"/>
      <c r="N115" s="61">
        <v>97</v>
      </c>
      <c r="O115" s="237"/>
      <c r="P115" s="237"/>
      <c r="Q115" s="238"/>
      <c r="R115" s="238"/>
      <c r="S115" s="239"/>
      <c r="T115" s="239"/>
      <c r="U115" s="238"/>
      <c r="V115" s="238"/>
      <c r="W115" s="256">
        <f t="shared" si="3"/>
        <v>0</v>
      </c>
      <c r="X115" s="257"/>
    </row>
    <row r="116" spans="1:24" ht="22.5" customHeight="1" x14ac:dyDescent="0.25">
      <c r="A116" s="62">
        <v>98</v>
      </c>
      <c r="B116" s="250"/>
      <c r="C116" s="250"/>
      <c r="D116" s="251"/>
      <c r="E116" s="251"/>
      <c r="F116" s="252"/>
      <c r="G116" s="252"/>
      <c r="H116" s="251"/>
      <c r="I116" s="251"/>
      <c r="J116" s="253">
        <f t="shared" si="2"/>
        <v>0</v>
      </c>
      <c r="K116" s="254"/>
      <c r="L116" s="249"/>
      <c r="M116" s="41"/>
      <c r="N116" s="62">
        <v>98</v>
      </c>
      <c r="O116" s="250"/>
      <c r="P116" s="250"/>
      <c r="Q116" s="251"/>
      <c r="R116" s="251"/>
      <c r="S116" s="252"/>
      <c r="T116" s="252"/>
      <c r="U116" s="251"/>
      <c r="V116" s="251"/>
      <c r="W116" s="253">
        <f t="shared" si="3"/>
        <v>0</v>
      </c>
      <c r="X116" s="254"/>
    </row>
    <row r="117" spans="1:24" ht="22.5" customHeight="1" x14ac:dyDescent="0.25">
      <c r="A117" s="61">
        <v>99</v>
      </c>
      <c r="B117" s="237"/>
      <c r="C117" s="237"/>
      <c r="D117" s="238"/>
      <c r="E117" s="238"/>
      <c r="F117" s="239"/>
      <c r="G117" s="239"/>
      <c r="H117" s="238"/>
      <c r="I117" s="238"/>
      <c r="J117" s="240">
        <f t="shared" si="2"/>
        <v>0</v>
      </c>
      <c r="K117" s="240"/>
      <c r="L117" s="249"/>
      <c r="M117" s="41"/>
      <c r="N117" s="61">
        <v>99</v>
      </c>
      <c r="O117" s="237"/>
      <c r="P117" s="237"/>
      <c r="Q117" s="238"/>
      <c r="R117" s="238"/>
      <c r="S117" s="239"/>
      <c r="T117" s="239"/>
      <c r="U117" s="238"/>
      <c r="V117" s="238"/>
      <c r="W117" s="256">
        <f t="shared" si="3"/>
        <v>0</v>
      </c>
      <c r="X117" s="257"/>
    </row>
    <row r="118" spans="1:24" ht="22.5" customHeight="1" x14ac:dyDescent="0.25">
      <c r="A118" s="62">
        <v>100</v>
      </c>
      <c r="B118" s="250"/>
      <c r="C118" s="250"/>
      <c r="D118" s="251"/>
      <c r="E118" s="251"/>
      <c r="F118" s="252"/>
      <c r="G118" s="252"/>
      <c r="H118" s="251"/>
      <c r="I118" s="251"/>
      <c r="J118" s="253">
        <f t="shared" si="2"/>
        <v>0</v>
      </c>
      <c r="K118" s="254"/>
      <c r="L118" s="249"/>
      <c r="M118" s="41"/>
      <c r="N118" s="62">
        <v>100</v>
      </c>
      <c r="O118" s="250"/>
      <c r="P118" s="250"/>
      <c r="Q118" s="251"/>
      <c r="R118" s="251"/>
      <c r="S118" s="252"/>
      <c r="T118" s="252"/>
      <c r="U118" s="251"/>
      <c r="V118" s="251"/>
      <c r="W118" s="253">
        <f t="shared" si="3"/>
        <v>0</v>
      </c>
      <c r="X118" s="254"/>
    </row>
    <row r="119" spans="1:24" ht="22.5" customHeight="1" x14ac:dyDescent="0.25">
      <c r="A119" s="61">
        <v>101</v>
      </c>
      <c r="B119" s="237"/>
      <c r="C119" s="237"/>
      <c r="D119" s="238"/>
      <c r="E119" s="238"/>
      <c r="F119" s="239"/>
      <c r="G119" s="239"/>
      <c r="H119" s="238"/>
      <c r="I119" s="238"/>
      <c r="J119" s="240">
        <f t="shared" si="2"/>
        <v>0</v>
      </c>
      <c r="K119" s="240"/>
      <c r="L119" s="249"/>
      <c r="M119" s="41"/>
      <c r="N119" s="61">
        <v>101</v>
      </c>
      <c r="O119" s="237"/>
      <c r="P119" s="237"/>
      <c r="Q119" s="238"/>
      <c r="R119" s="238"/>
      <c r="S119" s="239"/>
      <c r="T119" s="239"/>
      <c r="U119" s="238"/>
      <c r="V119" s="238"/>
      <c r="W119" s="256">
        <f t="shared" si="3"/>
        <v>0</v>
      </c>
      <c r="X119" s="257"/>
    </row>
    <row r="120" spans="1:24" ht="22.5" customHeight="1" x14ac:dyDescent="0.25">
      <c r="A120" s="62">
        <v>102</v>
      </c>
      <c r="B120" s="250"/>
      <c r="C120" s="250"/>
      <c r="D120" s="251"/>
      <c r="E120" s="251"/>
      <c r="F120" s="252"/>
      <c r="G120" s="252"/>
      <c r="H120" s="251"/>
      <c r="I120" s="251"/>
      <c r="J120" s="253">
        <f t="shared" si="2"/>
        <v>0</v>
      </c>
      <c r="K120" s="254"/>
      <c r="L120" s="249"/>
      <c r="M120" s="41"/>
      <c r="N120" s="62">
        <v>102</v>
      </c>
      <c r="O120" s="250"/>
      <c r="P120" s="250"/>
      <c r="Q120" s="251"/>
      <c r="R120" s="251"/>
      <c r="S120" s="252"/>
      <c r="T120" s="252"/>
      <c r="U120" s="251"/>
      <c r="V120" s="251"/>
      <c r="W120" s="253">
        <f t="shared" si="3"/>
        <v>0</v>
      </c>
      <c r="X120" s="254"/>
    </row>
    <row r="121" spans="1:24" ht="22.5" customHeight="1" x14ac:dyDescent="0.25">
      <c r="A121" s="61">
        <v>103</v>
      </c>
      <c r="B121" s="237"/>
      <c r="C121" s="237"/>
      <c r="D121" s="238"/>
      <c r="E121" s="238"/>
      <c r="F121" s="239"/>
      <c r="G121" s="239"/>
      <c r="H121" s="238"/>
      <c r="I121" s="238"/>
      <c r="J121" s="240">
        <f t="shared" si="2"/>
        <v>0</v>
      </c>
      <c r="K121" s="240"/>
      <c r="L121" s="249"/>
      <c r="M121" s="41"/>
      <c r="N121" s="61">
        <v>103</v>
      </c>
      <c r="O121" s="237"/>
      <c r="P121" s="237"/>
      <c r="Q121" s="238"/>
      <c r="R121" s="238"/>
      <c r="S121" s="239"/>
      <c r="T121" s="239"/>
      <c r="U121" s="238"/>
      <c r="V121" s="238"/>
      <c r="W121" s="256">
        <f t="shared" si="3"/>
        <v>0</v>
      </c>
      <c r="X121" s="257"/>
    </row>
    <row r="122" spans="1:24" ht="22.5" customHeight="1" x14ac:dyDescent="0.25">
      <c r="A122" s="62">
        <v>104</v>
      </c>
      <c r="B122" s="250"/>
      <c r="C122" s="250"/>
      <c r="D122" s="251"/>
      <c r="E122" s="251"/>
      <c r="F122" s="252"/>
      <c r="G122" s="252"/>
      <c r="H122" s="251"/>
      <c r="I122" s="251"/>
      <c r="J122" s="253">
        <f t="shared" si="2"/>
        <v>0</v>
      </c>
      <c r="K122" s="254"/>
      <c r="L122" s="249"/>
      <c r="M122" s="41"/>
      <c r="N122" s="62">
        <v>104</v>
      </c>
      <c r="O122" s="250"/>
      <c r="P122" s="250"/>
      <c r="Q122" s="251"/>
      <c r="R122" s="251"/>
      <c r="S122" s="252"/>
      <c r="T122" s="252"/>
      <c r="U122" s="251"/>
      <c r="V122" s="251"/>
      <c r="W122" s="253">
        <f t="shared" si="3"/>
        <v>0</v>
      </c>
      <c r="X122" s="254"/>
    </row>
    <row r="123" spans="1:24" ht="22.5" customHeight="1" x14ac:dyDescent="0.25">
      <c r="A123" s="61">
        <v>105</v>
      </c>
      <c r="B123" s="237"/>
      <c r="C123" s="237"/>
      <c r="D123" s="238"/>
      <c r="E123" s="238"/>
      <c r="F123" s="239"/>
      <c r="G123" s="239"/>
      <c r="H123" s="238"/>
      <c r="I123" s="238"/>
      <c r="J123" s="240">
        <f t="shared" si="2"/>
        <v>0</v>
      </c>
      <c r="K123" s="240"/>
      <c r="L123" s="249"/>
      <c r="M123" s="41"/>
      <c r="N123" s="61">
        <v>105</v>
      </c>
      <c r="O123" s="237"/>
      <c r="P123" s="237"/>
      <c r="Q123" s="238"/>
      <c r="R123" s="238"/>
      <c r="S123" s="239"/>
      <c r="T123" s="239"/>
      <c r="U123" s="238"/>
      <c r="V123" s="238"/>
      <c r="W123" s="256">
        <f t="shared" si="3"/>
        <v>0</v>
      </c>
      <c r="X123" s="257"/>
    </row>
    <row r="124" spans="1:24" ht="22.5" customHeight="1" x14ac:dyDescent="0.25">
      <c r="A124" s="62">
        <v>106</v>
      </c>
      <c r="B124" s="250"/>
      <c r="C124" s="250"/>
      <c r="D124" s="251"/>
      <c r="E124" s="251"/>
      <c r="F124" s="252"/>
      <c r="G124" s="252"/>
      <c r="H124" s="251"/>
      <c r="I124" s="251"/>
      <c r="J124" s="253">
        <f t="shared" si="2"/>
        <v>0</v>
      </c>
      <c r="K124" s="254"/>
      <c r="L124" s="249"/>
      <c r="M124" s="41"/>
      <c r="N124" s="62">
        <v>106</v>
      </c>
      <c r="O124" s="250"/>
      <c r="P124" s="250"/>
      <c r="Q124" s="251"/>
      <c r="R124" s="251"/>
      <c r="S124" s="252"/>
      <c r="T124" s="252"/>
      <c r="U124" s="251"/>
      <c r="V124" s="251"/>
      <c r="W124" s="253">
        <f t="shared" si="3"/>
        <v>0</v>
      </c>
      <c r="X124" s="254"/>
    </row>
    <row r="125" spans="1:24" ht="22.5" customHeight="1" x14ac:dyDescent="0.25">
      <c r="A125" s="61">
        <v>107</v>
      </c>
      <c r="B125" s="237"/>
      <c r="C125" s="237"/>
      <c r="D125" s="238"/>
      <c r="E125" s="238"/>
      <c r="F125" s="239"/>
      <c r="G125" s="239"/>
      <c r="H125" s="238"/>
      <c r="I125" s="238"/>
      <c r="J125" s="240">
        <f t="shared" si="2"/>
        <v>0</v>
      </c>
      <c r="K125" s="240"/>
      <c r="L125" s="249"/>
      <c r="M125" s="41"/>
      <c r="N125" s="61">
        <v>107</v>
      </c>
      <c r="O125" s="237"/>
      <c r="P125" s="237"/>
      <c r="Q125" s="238"/>
      <c r="R125" s="238"/>
      <c r="S125" s="239"/>
      <c r="T125" s="239"/>
      <c r="U125" s="238"/>
      <c r="V125" s="238"/>
      <c r="W125" s="256">
        <f t="shared" si="3"/>
        <v>0</v>
      </c>
      <c r="X125" s="257"/>
    </row>
    <row r="126" spans="1:24" ht="22.5" customHeight="1" x14ac:dyDescent="0.25">
      <c r="A126" s="62">
        <v>108</v>
      </c>
      <c r="B126" s="250"/>
      <c r="C126" s="250"/>
      <c r="D126" s="251"/>
      <c r="E126" s="251"/>
      <c r="F126" s="252"/>
      <c r="G126" s="252"/>
      <c r="H126" s="251"/>
      <c r="I126" s="251"/>
      <c r="J126" s="253">
        <f t="shared" si="2"/>
        <v>0</v>
      </c>
      <c r="K126" s="254"/>
      <c r="L126" s="249"/>
      <c r="M126" s="41"/>
      <c r="N126" s="62">
        <v>108</v>
      </c>
      <c r="O126" s="250"/>
      <c r="P126" s="250"/>
      <c r="Q126" s="251"/>
      <c r="R126" s="251"/>
      <c r="S126" s="252"/>
      <c r="T126" s="252"/>
      <c r="U126" s="251"/>
      <c r="V126" s="251"/>
      <c r="W126" s="253">
        <f t="shared" si="3"/>
        <v>0</v>
      </c>
      <c r="X126" s="254"/>
    </row>
    <row r="127" spans="1:24" ht="22.5" customHeight="1" x14ac:dyDescent="0.25">
      <c r="A127" s="61">
        <v>109</v>
      </c>
      <c r="B127" s="237"/>
      <c r="C127" s="237"/>
      <c r="D127" s="238"/>
      <c r="E127" s="238"/>
      <c r="F127" s="239"/>
      <c r="G127" s="239"/>
      <c r="H127" s="238"/>
      <c r="I127" s="238"/>
      <c r="J127" s="240">
        <f t="shared" si="2"/>
        <v>0</v>
      </c>
      <c r="K127" s="240"/>
      <c r="L127" s="249"/>
      <c r="M127" s="41"/>
      <c r="N127" s="61">
        <v>109</v>
      </c>
      <c r="O127" s="237"/>
      <c r="P127" s="237"/>
      <c r="Q127" s="238"/>
      <c r="R127" s="238"/>
      <c r="S127" s="239"/>
      <c r="T127" s="239"/>
      <c r="U127" s="238"/>
      <c r="V127" s="238"/>
      <c r="W127" s="256">
        <f t="shared" si="3"/>
        <v>0</v>
      </c>
      <c r="X127" s="257"/>
    </row>
    <row r="128" spans="1:24" ht="22.5" customHeight="1" x14ac:dyDescent="0.25">
      <c r="A128" s="62">
        <v>110</v>
      </c>
      <c r="B128" s="250"/>
      <c r="C128" s="250"/>
      <c r="D128" s="251"/>
      <c r="E128" s="251"/>
      <c r="F128" s="252"/>
      <c r="G128" s="252"/>
      <c r="H128" s="251"/>
      <c r="I128" s="251"/>
      <c r="J128" s="253">
        <f t="shared" si="2"/>
        <v>0</v>
      </c>
      <c r="K128" s="254"/>
      <c r="L128" s="249"/>
      <c r="M128" s="41"/>
      <c r="N128" s="62">
        <v>110</v>
      </c>
      <c r="O128" s="250"/>
      <c r="P128" s="250"/>
      <c r="Q128" s="251"/>
      <c r="R128" s="251"/>
      <c r="S128" s="252"/>
      <c r="T128" s="252"/>
      <c r="U128" s="251"/>
      <c r="V128" s="251"/>
      <c r="W128" s="253">
        <f t="shared" si="3"/>
        <v>0</v>
      </c>
      <c r="X128" s="254"/>
    </row>
    <row r="129" spans="1:24" ht="22.5" customHeight="1" x14ac:dyDescent="0.25">
      <c r="A129" s="61">
        <v>111</v>
      </c>
      <c r="B129" s="237"/>
      <c r="C129" s="237"/>
      <c r="D129" s="238"/>
      <c r="E129" s="238"/>
      <c r="F129" s="239"/>
      <c r="G129" s="239"/>
      <c r="H129" s="238"/>
      <c r="I129" s="238"/>
      <c r="J129" s="240">
        <f t="shared" si="2"/>
        <v>0</v>
      </c>
      <c r="K129" s="240"/>
      <c r="L129" s="249"/>
      <c r="M129" s="41"/>
      <c r="N129" s="61">
        <v>111</v>
      </c>
      <c r="O129" s="237"/>
      <c r="P129" s="237"/>
      <c r="Q129" s="238"/>
      <c r="R129" s="238"/>
      <c r="S129" s="239"/>
      <c r="T129" s="239"/>
      <c r="U129" s="238"/>
      <c r="V129" s="238"/>
      <c r="W129" s="256">
        <f t="shared" si="3"/>
        <v>0</v>
      </c>
      <c r="X129" s="257"/>
    </row>
    <row r="130" spans="1:24" ht="22.5" customHeight="1" x14ac:dyDescent="0.25">
      <c r="A130" s="62">
        <v>112</v>
      </c>
      <c r="B130" s="250"/>
      <c r="C130" s="250"/>
      <c r="D130" s="251"/>
      <c r="E130" s="251"/>
      <c r="F130" s="252"/>
      <c r="G130" s="252"/>
      <c r="H130" s="251"/>
      <c r="I130" s="251"/>
      <c r="J130" s="253">
        <f t="shared" si="2"/>
        <v>0</v>
      </c>
      <c r="K130" s="254"/>
      <c r="L130" s="249"/>
      <c r="M130" s="41"/>
      <c r="N130" s="62">
        <v>112</v>
      </c>
      <c r="O130" s="250"/>
      <c r="P130" s="250"/>
      <c r="Q130" s="251"/>
      <c r="R130" s="251"/>
      <c r="S130" s="252"/>
      <c r="T130" s="252"/>
      <c r="U130" s="251"/>
      <c r="V130" s="251"/>
      <c r="W130" s="253">
        <f t="shared" si="3"/>
        <v>0</v>
      </c>
      <c r="X130" s="254"/>
    </row>
    <row r="131" spans="1:24" ht="22.5" customHeight="1" x14ac:dyDescent="0.25">
      <c r="A131" s="61">
        <v>113</v>
      </c>
      <c r="B131" s="237"/>
      <c r="C131" s="237"/>
      <c r="D131" s="238"/>
      <c r="E131" s="238"/>
      <c r="F131" s="239"/>
      <c r="G131" s="239"/>
      <c r="H131" s="238"/>
      <c r="I131" s="238"/>
      <c r="J131" s="240">
        <f t="shared" si="2"/>
        <v>0</v>
      </c>
      <c r="K131" s="240"/>
      <c r="L131" s="249"/>
      <c r="M131" s="41"/>
      <c r="N131" s="61">
        <v>113</v>
      </c>
      <c r="O131" s="237"/>
      <c r="P131" s="237"/>
      <c r="Q131" s="238"/>
      <c r="R131" s="238"/>
      <c r="S131" s="239"/>
      <c r="T131" s="239"/>
      <c r="U131" s="238"/>
      <c r="V131" s="238"/>
      <c r="W131" s="256">
        <f t="shared" si="3"/>
        <v>0</v>
      </c>
      <c r="X131" s="257"/>
    </row>
    <row r="132" spans="1:24" ht="22.5" customHeight="1" x14ac:dyDescent="0.25">
      <c r="A132" s="62">
        <v>114</v>
      </c>
      <c r="B132" s="250"/>
      <c r="C132" s="250"/>
      <c r="D132" s="251"/>
      <c r="E132" s="251"/>
      <c r="F132" s="252"/>
      <c r="G132" s="252"/>
      <c r="H132" s="251"/>
      <c r="I132" s="251"/>
      <c r="J132" s="253">
        <f t="shared" si="2"/>
        <v>0</v>
      </c>
      <c r="K132" s="254"/>
      <c r="L132" s="249"/>
      <c r="M132" s="41"/>
      <c r="N132" s="62">
        <v>114</v>
      </c>
      <c r="O132" s="250"/>
      <c r="P132" s="250"/>
      <c r="Q132" s="251"/>
      <c r="R132" s="251"/>
      <c r="S132" s="252"/>
      <c r="T132" s="252"/>
      <c r="U132" s="251"/>
      <c r="V132" s="251"/>
      <c r="W132" s="253">
        <f t="shared" si="3"/>
        <v>0</v>
      </c>
      <c r="X132" s="254"/>
    </row>
    <row r="133" spans="1:24" ht="22.5" customHeight="1" x14ac:dyDescent="0.25">
      <c r="A133" s="61">
        <v>115</v>
      </c>
      <c r="B133" s="237"/>
      <c r="C133" s="237"/>
      <c r="D133" s="238"/>
      <c r="E133" s="238"/>
      <c r="F133" s="239"/>
      <c r="G133" s="239"/>
      <c r="H133" s="238"/>
      <c r="I133" s="238"/>
      <c r="J133" s="240">
        <f t="shared" si="2"/>
        <v>0</v>
      </c>
      <c r="K133" s="240"/>
      <c r="L133" s="249"/>
      <c r="M133" s="41"/>
      <c r="N133" s="61">
        <v>115</v>
      </c>
      <c r="O133" s="237"/>
      <c r="P133" s="237"/>
      <c r="Q133" s="238"/>
      <c r="R133" s="238"/>
      <c r="S133" s="239"/>
      <c r="T133" s="239"/>
      <c r="U133" s="238"/>
      <c r="V133" s="238"/>
      <c r="W133" s="256">
        <f t="shared" si="3"/>
        <v>0</v>
      </c>
      <c r="X133" s="257"/>
    </row>
    <row r="134" spans="1:24" ht="22.5" customHeight="1" x14ac:dyDescent="0.25">
      <c r="A134" s="62">
        <v>116</v>
      </c>
      <c r="B134" s="250"/>
      <c r="C134" s="250"/>
      <c r="D134" s="251"/>
      <c r="E134" s="251"/>
      <c r="F134" s="252"/>
      <c r="G134" s="252"/>
      <c r="H134" s="251"/>
      <c r="I134" s="251"/>
      <c r="J134" s="253">
        <f t="shared" si="2"/>
        <v>0</v>
      </c>
      <c r="K134" s="254"/>
      <c r="L134" s="249"/>
      <c r="M134" s="41"/>
      <c r="N134" s="62">
        <v>116</v>
      </c>
      <c r="O134" s="250"/>
      <c r="P134" s="250"/>
      <c r="Q134" s="251"/>
      <c r="R134" s="251"/>
      <c r="S134" s="252"/>
      <c r="T134" s="252"/>
      <c r="U134" s="251"/>
      <c r="V134" s="251"/>
      <c r="W134" s="253">
        <f t="shared" si="3"/>
        <v>0</v>
      </c>
      <c r="X134" s="254"/>
    </row>
    <row r="135" spans="1:24" ht="22.5" customHeight="1" x14ac:dyDescent="0.25">
      <c r="A135" s="61">
        <v>117</v>
      </c>
      <c r="B135" s="237"/>
      <c r="C135" s="237"/>
      <c r="D135" s="238"/>
      <c r="E135" s="238"/>
      <c r="F135" s="239"/>
      <c r="G135" s="239"/>
      <c r="H135" s="238"/>
      <c r="I135" s="238"/>
      <c r="J135" s="240">
        <f t="shared" si="2"/>
        <v>0</v>
      </c>
      <c r="K135" s="240"/>
      <c r="L135" s="249"/>
      <c r="M135" s="41"/>
      <c r="N135" s="61">
        <v>117</v>
      </c>
      <c r="O135" s="237"/>
      <c r="P135" s="237"/>
      <c r="Q135" s="238"/>
      <c r="R135" s="238"/>
      <c r="S135" s="239"/>
      <c r="T135" s="239"/>
      <c r="U135" s="238"/>
      <c r="V135" s="238"/>
      <c r="W135" s="256">
        <f t="shared" si="3"/>
        <v>0</v>
      </c>
      <c r="X135" s="257"/>
    </row>
    <row r="136" spans="1:24" ht="22.5" customHeight="1" x14ac:dyDescent="0.25">
      <c r="A136" s="62">
        <v>118</v>
      </c>
      <c r="B136" s="250"/>
      <c r="C136" s="250"/>
      <c r="D136" s="251"/>
      <c r="E136" s="251"/>
      <c r="F136" s="252"/>
      <c r="G136" s="252"/>
      <c r="H136" s="251"/>
      <c r="I136" s="251"/>
      <c r="J136" s="253">
        <f t="shared" si="2"/>
        <v>0</v>
      </c>
      <c r="K136" s="254"/>
      <c r="L136" s="249"/>
      <c r="M136" s="41"/>
      <c r="N136" s="62">
        <v>118</v>
      </c>
      <c r="O136" s="250"/>
      <c r="P136" s="250"/>
      <c r="Q136" s="251"/>
      <c r="R136" s="251"/>
      <c r="S136" s="252"/>
      <c r="T136" s="252"/>
      <c r="U136" s="251"/>
      <c r="V136" s="251"/>
      <c r="W136" s="253">
        <f t="shared" si="3"/>
        <v>0</v>
      </c>
      <c r="X136" s="254"/>
    </row>
    <row r="137" spans="1:24" ht="22.5" customHeight="1" x14ac:dyDescent="0.25">
      <c r="A137" s="61">
        <v>119</v>
      </c>
      <c r="B137" s="237"/>
      <c r="C137" s="237"/>
      <c r="D137" s="238"/>
      <c r="E137" s="238"/>
      <c r="F137" s="239"/>
      <c r="G137" s="239"/>
      <c r="H137" s="238"/>
      <c r="I137" s="238"/>
      <c r="J137" s="240">
        <f t="shared" si="2"/>
        <v>0</v>
      </c>
      <c r="K137" s="240"/>
      <c r="L137" s="249"/>
      <c r="M137" s="41"/>
      <c r="N137" s="61">
        <v>119</v>
      </c>
      <c r="O137" s="237"/>
      <c r="P137" s="237"/>
      <c r="Q137" s="238"/>
      <c r="R137" s="238"/>
      <c r="S137" s="239"/>
      <c r="T137" s="239"/>
      <c r="U137" s="238"/>
      <c r="V137" s="238"/>
      <c r="W137" s="256">
        <f t="shared" si="3"/>
        <v>0</v>
      </c>
      <c r="X137" s="257"/>
    </row>
    <row r="138" spans="1:24" ht="22.5" customHeight="1" x14ac:dyDescent="0.25">
      <c r="A138" s="62">
        <v>120</v>
      </c>
      <c r="B138" s="250"/>
      <c r="C138" s="250"/>
      <c r="D138" s="251"/>
      <c r="E138" s="251"/>
      <c r="F138" s="252"/>
      <c r="G138" s="252"/>
      <c r="H138" s="251"/>
      <c r="I138" s="251"/>
      <c r="J138" s="253">
        <f t="shared" si="2"/>
        <v>0</v>
      </c>
      <c r="K138" s="254"/>
      <c r="L138" s="249"/>
      <c r="M138" s="41"/>
      <c r="N138" s="62">
        <v>120</v>
      </c>
      <c r="O138" s="250"/>
      <c r="P138" s="250"/>
      <c r="Q138" s="251"/>
      <c r="R138" s="251"/>
      <c r="S138" s="252"/>
      <c r="T138" s="252"/>
      <c r="U138" s="251"/>
      <c r="V138" s="251"/>
      <c r="W138" s="253">
        <f t="shared" si="3"/>
        <v>0</v>
      </c>
      <c r="X138" s="254"/>
    </row>
    <row r="139" spans="1:24" ht="22.5" customHeight="1" x14ac:dyDescent="0.25">
      <c r="A139" s="61">
        <v>121</v>
      </c>
      <c r="B139" s="237"/>
      <c r="C139" s="237"/>
      <c r="D139" s="238"/>
      <c r="E139" s="238"/>
      <c r="F139" s="239"/>
      <c r="G139" s="239"/>
      <c r="H139" s="238"/>
      <c r="I139" s="238"/>
      <c r="J139" s="240">
        <f t="shared" si="2"/>
        <v>0</v>
      </c>
      <c r="K139" s="240"/>
      <c r="L139" s="249"/>
      <c r="M139" s="41"/>
      <c r="N139" s="61">
        <v>121</v>
      </c>
      <c r="O139" s="237"/>
      <c r="P139" s="237"/>
      <c r="Q139" s="238"/>
      <c r="R139" s="238"/>
      <c r="S139" s="239"/>
      <c r="T139" s="239"/>
      <c r="U139" s="238"/>
      <c r="V139" s="238"/>
      <c r="W139" s="256">
        <f t="shared" si="3"/>
        <v>0</v>
      </c>
      <c r="X139" s="257"/>
    </row>
    <row r="140" spans="1:24" ht="22.5" customHeight="1" x14ac:dyDescent="0.25">
      <c r="A140" s="62">
        <v>122</v>
      </c>
      <c r="B140" s="250"/>
      <c r="C140" s="250"/>
      <c r="D140" s="251"/>
      <c r="E140" s="251"/>
      <c r="F140" s="252"/>
      <c r="G140" s="252"/>
      <c r="H140" s="251"/>
      <c r="I140" s="251"/>
      <c r="J140" s="253">
        <f t="shared" si="2"/>
        <v>0</v>
      </c>
      <c r="K140" s="254"/>
      <c r="L140" s="249"/>
      <c r="M140" s="41"/>
      <c r="N140" s="62">
        <v>122</v>
      </c>
      <c r="O140" s="250"/>
      <c r="P140" s="250"/>
      <c r="Q140" s="251"/>
      <c r="R140" s="251"/>
      <c r="S140" s="252"/>
      <c r="T140" s="252"/>
      <c r="U140" s="251"/>
      <c r="V140" s="251"/>
      <c r="W140" s="253">
        <f t="shared" si="3"/>
        <v>0</v>
      </c>
      <c r="X140" s="254"/>
    </row>
    <row r="141" spans="1:24" ht="22.5" customHeight="1" x14ac:dyDescent="0.25">
      <c r="A141" s="61">
        <v>123</v>
      </c>
      <c r="B141" s="237"/>
      <c r="C141" s="237"/>
      <c r="D141" s="238"/>
      <c r="E141" s="238"/>
      <c r="F141" s="239"/>
      <c r="G141" s="239"/>
      <c r="H141" s="238"/>
      <c r="I141" s="238"/>
      <c r="J141" s="240">
        <f t="shared" si="2"/>
        <v>0</v>
      </c>
      <c r="K141" s="240"/>
      <c r="L141" s="249"/>
      <c r="M141" s="41"/>
      <c r="N141" s="61">
        <v>123</v>
      </c>
      <c r="O141" s="237"/>
      <c r="P141" s="237"/>
      <c r="Q141" s="238"/>
      <c r="R141" s="238"/>
      <c r="S141" s="239"/>
      <c r="T141" s="239"/>
      <c r="U141" s="238"/>
      <c r="V141" s="238"/>
      <c r="W141" s="256">
        <f t="shared" si="3"/>
        <v>0</v>
      </c>
      <c r="X141" s="257"/>
    </row>
    <row r="142" spans="1:24" ht="22.5" customHeight="1" x14ac:dyDescent="0.25">
      <c r="A142" s="62">
        <v>124</v>
      </c>
      <c r="B142" s="250"/>
      <c r="C142" s="250"/>
      <c r="D142" s="251"/>
      <c r="E142" s="251"/>
      <c r="F142" s="252"/>
      <c r="G142" s="252"/>
      <c r="H142" s="251"/>
      <c r="I142" s="251"/>
      <c r="J142" s="253">
        <f t="shared" si="2"/>
        <v>0</v>
      </c>
      <c r="K142" s="254"/>
      <c r="L142" s="249"/>
      <c r="M142" s="41"/>
      <c r="N142" s="62">
        <v>124</v>
      </c>
      <c r="O142" s="250"/>
      <c r="P142" s="250"/>
      <c r="Q142" s="251"/>
      <c r="R142" s="251"/>
      <c r="S142" s="252"/>
      <c r="T142" s="252"/>
      <c r="U142" s="251"/>
      <c r="V142" s="251"/>
      <c r="W142" s="253">
        <f t="shared" si="3"/>
        <v>0</v>
      </c>
      <c r="X142" s="254"/>
    </row>
    <row r="143" spans="1:24" ht="22.5" customHeight="1" x14ac:dyDescent="0.25">
      <c r="A143" s="61">
        <v>125</v>
      </c>
      <c r="B143" s="237"/>
      <c r="C143" s="237"/>
      <c r="D143" s="238"/>
      <c r="E143" s="238"/>
      <c r="F143" s="239"/>
      <c r="G143" s="239"/>
      <c r="H143" s="238"/>
      <c r="I143" s="238"/>
      <c r="J143" s="240">
        <f t="shared" si="2"/>
        <v>0</v>
      </c>
      <c r="K143" s="240"/>
      <c r="L143" s="249"/>
      <c r="M143" s="41"/>
      <c r="N143" s="61">
        <v>125</v>
      </c>
      <c r="O143" s="237"/>
      <c r="P143" s="237"/>
      <c r="Q143" s="238"/>
      <c r="R143" s="238"/>
      <c r="S143" s="239"/>
      <c r="T143" s="239"/>
      <c r="U143" s="238"/>
      <c r="V143" s="238"/>
      <c r="W143" s="256">
        <f t="shared" si="3"/>
        <v>0</v>
      </c>
      <c r="X143" s="257"/>
    </row>
    <row r="144" spans="1:24" ht="22.5" customHeight="1" x14ac:dyDescent="0.25">
      <c r="A144" s="62">
        <v>126</v>
      </c>
      <c r="B144" s="250"/>
      <c r="C144" s="250"/>
      <c r="D144" s="251"/>
      <c r="E144" s="251"/>
      <c r="F144" s="252"/>
      <c r="G144" s="252"/>
      <c r="H144" s="251"/>
      <c r="I144" s="251"/>
      <c r="J144" s="253">
        <f t="shared" si="2"/>
        <v>0</v>
      </c>
      <c r="K144" s="254"/>
      <c r="L144" s="249"/>
      <c r="M144" s="41"/>
      <c r="N144" s="62">
        <v>126</v>
      </c>
      <c r="O144" s="250"/>
      <c r="P144" s="250"/>
      <c r="Q144" s="251"/>
      <c r="R144" s="251"/>
      <c r="S144" s="252"/>
      <c r="T144" s="252"/>
      <c r="U144" s="251"/>
      <c r="V144" s="251"/>
      <c r="W144" s="253">
        <f t="shared" si="3"/>
        <v>0</v>
      </c>
      <c r="X144" s="254"/>
    </row>
    <row r="145" spans="1:24" ht="22.5" customHeight="1" x14ac:dyDescent="0.25">
      <c r="A145" s="61">
        <v>127</v>
      </c>
      <c r="B145" s="237"/>
      <c r="C145" s="237"/>
      <c r="D145" s="238"/>
      <c r="E145" s="238"/>
      <c r="F145" s="239"/>
      <c r="G145" s="239"/>
      <c r="H145" s="238"/>
      <c r="I145" s="238"/>
      <c r="J145" s="240">
        <f t="shared" si="2"/>
        <v>0</v>
      </c>
      <c r="K145" s="240"/>
      <c r="L145" s="249"/>
      <c r="M145" s="41"/>
      <c r="N145" s="61">
        <v>127</v>
      </c>
      <c r="O145" s="237"/>
      <c r="P145" s="237"/>
      <c r="Q145" s="238"/>
      <c r="R145" s="238"/>
      <c r="S145" s="239"/>
      <c r="T145" s="239"/>
      <c r="U145" s="238"/>
      <c r="V145" s="238"/>
      <c r="W145" s="256">
        <f t="shared" si="3"/>
        <v>0</v>
      </c>
      <c r="X145" s="257"/>
    </row>
    <row r="146" spans="1:24" ht="22.5" customHeight="1" x14ac:dyDescent="0.25">
      <c r="A146" s="62">
        <v>128</v>
      </c>
      <c r="B146" s="250"/>
      <c r="C146" s="250"/>
      <c r="D146" s="251"/>
      <c r="E146" s="251"/>
      <c r="F146" s="252"/>
      <c r="G146" s="252"/>
      <c r="H146" s="251"/>
      <c r="I146" s="251"/>
      <c r="J146" s="253">
        <f t="shared" si="2"/>
        <v>0</v>
      </c>
      <c r="K146" s="254"/>
      <c r="L146" s="249"/>
      <c r="M146" s="41"/>
      <c r="N146" s="62">
        <v>128</v>
      </c>
      <c r="O146" s="250"/>
      <c r="P146" s="250"/>
      <c r="Q146" s="251"/>
      <c r="R146" s="251"/>
      <c r="S146" s="252"/>
      <c r="T146" s="252"/>
      <c r="U146" s="251"/>
      <c r="V146" s="251"/>
      <c r="W146" s="253">
        <f t="shared" si="3"/>
        <v>0</v>
      </c>
      <c r="X146" s="254"/>
    </row>
    <row r="147" spans="1:24" ht="22.5" customHeight="1" x14ac:dyDescent="0.25">
      <c r="A147" s="61">
        <v>129</v>
      </c>
      <c r="B147" s="237"/>
      <c r="C147" s="237"/>
      <c r="D147" s="238"/>
      <c r="E147" s="238"/>
      <c r="F147" s="239"/>
      <c r="G147" s="239"/>
      <c r="H147" s="238"/>
      <c r="I147" s="238"/>
      <c r="J147" s="240">
        <f t="shared" si="2"/>
        <v>0</v>
      </c>
      <c r="K147" s="240"/>
      <c r="L147" s="249"/>
      <c r="M147" s="41"/>
      <c r="N147" s="61">
        <v>129</v>
      </c>
      <c r="O147" s="237"/>
      <c r="P147" s="237"/>
      <c r="Q147" s="238"/>
      <c r="R147" s="238"/>
      <c r="S147" s="239"/>
      <c r="T147" s="239"/>
      <c r="U147" s="238"/>
      <c r="V147" s="238"/>
      <c r="W147" s="256">
        <f t="shared" si="3"/>
        <v>0</v>
      </c>
      <c r="X147" s="257"/>
    </row>
    <row r="148" spans="1:24" ht="22.5" customHeight="1" x14ac:dyDescent="0.25">
      <c r="A148" s="62">
        <v>130</v>
      </c>
      <c r="B148" s="250"/>
      <c r="C148" s="250"/>
      <c r="D148" s="251"/>
      <c r="E148" s="251"/>
      <c r="F148" s="252"/>
      <c r="G148" s="252"/>
      <c r="H148" s="251"/>
      <c r="I148" s="251"/>
      <c r="J148" s="253">
        <f t="shared" ref="J148:J211" si="4">D148*F148+H148</f>
        <v>0</v>
      </c>
      <c r="K148" s="254"/>
      <c r="L148" s="249"/>
      <c r="M148" s="41"/>
      <c r="N148" s="62">
        <v>130</v>
      </c>
      <c r="O148" s="250"/>
      <c r="P148" s="250"/>
      <c r="Q148" s="251"/>
      <c r="R148" s="251"/>
      <c r="S148" s="252"/>
      <c r="T148" s="252"/>
      <c r="U148" s="251"/>
      <c r="V148" s="251"/>
      <c r="W148" s="253">
        <f t="shared" ref="W148:W211" si="5">Q148*S148-U148</f>
        <v>0</v>
      </c>
      <c r="X148" s="254"/>
    </row>
    <row r="149" spans="1:24" ht="22.5" customHeight="1" x14ac:dyDescent="0.25">
      <c r="A149" s="61">
        <v>131</v>
      </c>
      <c r="B149" s="237"/>
      <c r="C149" s="237"/>
      <c r="D149" s="238"/>
      <c r="E149" s="238"/>
      <c r="F149" s="239"/>
      <c r="G149" s="239"/>
      <c r="H149" s="238"/>
      <c r="I149" s="238"/>
      <c r="J149" s="240">
        <f t="shared" si="4"/>
        <v>0</v>
      </c>
      <c r="K149" s="240"/>
      <c r="L149" s="249"/>
      <c r="M149" s="41"/>
      <c r="N149" s="61">
        <v>131</v>
      </c>
      <c r="O149" s="237"/>
      <c r="P149" s="237"/>
      <c r="Q149" s="238"/>
      <c r="R149" s="238"/>
      <c r="S149" s="239"/>
      <c r="T149" s="239"/>
      <c r="U149" s="238"/>
      <c r="V149" s="238"/>
      <c r="W149" s="256">
        <f t="shared" si="5"/>
        <v>0</v>
      </c>
      <c r="X149" s="257"/>
    </row>
    <row r="150" spans="1:24" ht="22.5" customHeight="1" x14ac:dyDescent="0.25">
      <c r="A150" s="62">
        <v>132</v>
      </c>
      <c r="B150" s="250"/>
      <c r="C150" s="250"/>
      <c r="D150" s="251"/>
      <c r="E150" s="251"/>
      <c r="F150" s="252"/>
      <c r="G150" s="252"/>
      <c r="H150" s="251"/>
      <c r="I150" s="251"/>
      <c r="J150" s="253">
        <f t="shared" si="4"/>
        <v>0</v>
      </c>
      <c r="K150" s="254"/>
      <c r="L150" s="249"/>
      <c r="M150" s="41"/>
      <c r="N150" s="62">
        <v>132</v>
      </c>
      <c r="O150" s="250"/>
      <c r="P150" s="250"/>
      <c r="Q150" s="251"/>
      <c r="R150" s="251"/>
      <c r="S150" s="252"/>
      <c r="T150" s="252"/>
      <c r="U150" s="251"/>
      <c r="V150" s="251"/>
      <c r="W150" s="253">
        <f t="shared" si="5"/>
        <v>0</v>
      </c>
      <c r="X150" s="254"/>
    </row>
    <row r="151" spans="1:24" ht="22.5" customHeight="1" x14ac:dyDescent="0.25">
      <c r="A151" s="61">
        <v>133</v>
      </c>
      <c r="B151" s="237"/>
      <c r="C151" s="237"/>
      <c r="D151" s="238"/>
      <c r="E151" s="238"/>
      <c r="F151" s="239"/>
      <c r="G151" s="239"/>
      <c r="H151" s="238"/>
      <c r="I151" s="238"/>
      <c r="J151" s="240">
        <f t="shared" si="4"/>
        <v>0</v>
      </c>
      <c r="K151" s="240"/>
      <c r="L151" s="249"/>
      <c r="M151" s="41"/>
      <c r="N151" s="61">
        <v>133</v>
      </c>
      <c r="O151" s="237"/>
      <c r="P151" s="237"/>
      <c r="Q151" s="238"/>
      <c r="R151" s="238"/>
      <c r="S151" s="239"/>
      <c r="T151" s="239"/>
      <c r="U151" s="238"/>
      <c r="V151" s="238"/>
      <c r="W151" s="256">
        <f t="shared" si="5"/>
        <v>0</v>
      </c>
      <c r="X151" s="257"/>
    </row>
    <row r="152" spans="1:24" ht="22.5" customHeight="1" x14ac:dyDescent="0.25">
      <c r="A152" s="62">
        <v>134</v>
      </c>
      <c r="B152" s="250"/>
      <c r="C152" s="250"/>
      <c r="D152" s="251"/>
      <c r="E152" s="251"/>
      <c r="F152" s="252"/>
      <c r="G152" s="252"/>
      <c r="H152" s="251"/>
      <c r="I152" s="251"/>
      <c r="J152" s="253">
        <f t="shared" si="4"/>
        <v>0</v>
      </c>
      <c r="K152" s="254"/>
      <c r="L152" s="249"/>
      <c r="M152" s="41"/>
      <c r="N152" s="62">
        <v>134</v>
      </c>
      <c r="O152" s="250"/>
      <c r="P152" s="250"/>
      <c r="Q152" s="251"/>
      <c r="R152" s="251"/>
      <c r="S152" s="252"/>
      <c r="T152" s="252"/>
      <c r="U152" s="251"/>
      <c r="V152" s="251"/>
      <c r="W152" s="253">
        <f t="shared" si="5"/>
        <v>0</v>
      </c>
      <c r="X152" s="254"/>
    </row>
    <row r="153" spans="1:24" ht="22.5" customHeight="1" x14ac:dyDescent="0.25">
      <c r="A153" s="61">
        <v>135</v>
      </c>
      <c r="B153" s="237"/>
      <c r="C153" s="237"/>
      <c r="D153" s="238"/>
      <c r="E153" s="238"/>
      <c r="F153" s="239"/>
      <c r="G153" s="239"/>
      <c r="H153" s="238"/>
      <c r="I153" s="238"/>
      <c r="J153" s="240">
        <f t="shared" si="4"/>
        <v>0</v>
      </c>
      <c r="K153" s="240"/>
      <c r="L153" s="249"/>
      <c r="M153" s="41"/>
      <c r="N153" s="61">
        <v>135</v>
      </c>
      <c r="O153" s="237"/>
      <c r="P153" s="237"/>
      <c r="Q153" s="238"/>
      <c r="R153" s="238"/>
      <c r="S153" s="239"/>
      <c r="T153" s="239"/>
      <c r="U153" s="238"/>
      <c r="V153" s="238"/>
      <c r="W153" s="256">
        <f t="shared" si="5"/>
        <v>0</v>
      </c>
      <c r="X153" s="257"/>
    </row>
    <row r="154" spans="1:24" ht="22.5" customHeight="1" x14ac:dyDescent="0.25">
      <c r="A154" s="62">
        <v>136</v>
      </c>
      <c r="B154" s="250"/>
      <c r="C154" s="250"/>
      <c r="D154" s="251"/>
      <c r="E154" s="251"/>
      <c r="F154" s="252"/>
      <c r="G154" s="252"/>
      <c r="H154" s="251"/>
      <c r="I154" s="251"/>
      <c r="J154" s="253">
        <f t="shared" si="4"/>
        <v>0</v>
      </c>
      <c r="K154" s="254"/>
      <c r="L154" s="249"/>
      <c r="M154" s="41"/>
      <c r="N154" s="62">
        <v>136</v>
      </c>
      <c r="O154" s="250"/>
      <c r="P154" s="250"/>
      <c r="Q154" s="251"/>
      <c r="R154" s="251"/>
      <c r="S154" s="252"/>
      <c r="T154" s="252"/>
      <c r="U154" s="251"/>
      <c r="V154" s="251"/>
      <c r="W154" s="253">
        <f t="shared" si="5"/>
        <v>0</v>
      </c>
      <c r="X154" s="254"/>
    </row>
    <row r="155" spans="1:24" ht="22.5" customHeight="1" x14ac:dyDescent="0.25">
      <c r="A155" s="61">
        <v>137</v>
      </c>
      <c r="B155" s="237"/>
      <c r="C155" s="237"/>
      <c r="D155" s="238"/>
      <c r="E155" s="238"/>
      <c r="F155" s="239"/>
      <c r="G155" s="239"/>
      <c r="H155" s="238"/>
      <c r="I155" s="238"/>
      <c r="J155" s="240">
        <f t="shared" si="4"/>
        <v>0</v>
      </c>
      <c r="K155" s="240"/>
      <c r="L155" s="249"/>
      <c r="M155" s="41"/>
      <c r="N155" s="61">
        <v>137</v>
      </c>
      <c r="O155" s="237"/>
      <c r="P155" s="237"/>
      <c r="Q155" s="238"/>
      <c r="R155" s="238"/>
      <c r="S155" s="239"/>
      <c r="T155" s="239"/>
      <c r="U155" s="238"/>
      <c r="V155" s="238"/>
      <c r="W155" s="256">
        <f t="shared" si="5"/>
        <v>0</v>
      </c>
      <c r="X155" s="257"/>
    </row>
    <row r="156" spans="1:24" ht="22.5" customHeight="1" x14ac:dyDescent="0.25">
      <c r="A156" s="62">
        <v>138</v>
      </c>
      <c r="B156" s="250"/>
      <c r="C156" s="250"/>
      <c r="D156" s="251"/>
      <c r="E156" s="251"/>
      <c r="F156" s="252"/>
      <c r="G156" s="252"/>
      <c r="H156" s="251"/>
      <c r="I156" s="251"/>
      <c r="J156" s="253">
        <f t="shared" si="4"/>
        <v>0</v>
      </c>
      <c r="K156" s="254"/>
      <c r="L156" s="249"/>
      <c r="M156" s="41"/>
      <c r="N156" s="62">
        <v>138</v>
      </c>
      <c r="O156" s="250"/>
      <c r="P156" s="250"/>
      <c r="Q156" s="251"/>
      <c r="R156" s="251"/>
      <c r="S156" s="252"/>
      <c r="T156" s="252"/>
      <c r="U156" s="251"/>
      <c r="V156" s="251"/>
      <c r="W156" s="253">
        <f t="shared" si="5"/>
        <v>0</v>
      </c>
      <c r="X156" s="254"/>
    </row>
    <row r="157" spans="1:24" ht="22.5" customHeight="1" x14ac:dyDescent="0.25">
      <c r="A157" s="61">
        <v>139</v>
      </c>
      <c r="B157" s="237"/>
      <c r="C157" s="237"/>
      <c r="D157" s="238"/>
      <c r="E157" s="238"/>
      <c r="F157" s="239"/>
      <c r="G157" s="239"/>
      <c r="H157" s="238"/>
      <c r="I157" s="238"/>
      <c r="J157" s="240">
        <f t="shared" si="4"/>
        <v>0</v>
      </c>
      <c r="K157" s="240"/>
      <c r="L157" s="249"/>
      <c r="M157" s="41"/>
      <c r="N157" s="61">
        <v>139</v>
      </c>
      <c r="O157" s="237"/>
      <c r="P157" s="237"/>
      <c r="Q157" s="238"/>
      <c r="R157" s="238"/>
      <c r="S157" s="239"/>
      <c r="T157" s="239"/>
      <c r="U157" s="238"/>
      <c r="V157" s="238"/>
      <c r="W157" s="256">
        <f t="shared" si="5"/>
        <v>0</v>
      </c>
      <c r="X157" s="257"/>
    </row>
    <row r="158" spans="1:24" ht="22.5" customHeight="1" x14ac:dyDescent="0.25">
      <c r="A158" s="62">
        <v>140</v>
      </c>
      <c r="B158" s="250"/>
      <c r="C158" s="250"/>
      <c r="D158" s="251"/>
      <c r="E158" s="251"/>
      <c r="F158" s="252"/>
      <c r="G158" s="252"/>
      <c r="H158" s="251"/>
      <c r="I158" s="251"/>
      <c r="J158" s="253">
        <f t="shared" si="4"/>
        <v>0</v>
      </c>
      <c r="K158" s="254"/>
      <c r="L158" s="249"/>
      <c r="M158" s="41"/>
      <c r="N158" s="62">
        <v>140</v>
      </c>
      <c r="O158" s="250"/>
      <c r="P158" s="250"/>
      <c r="Q158" s="251"/>
      <c r="R158" s="251"/>
      <c r="S158" s="252"/>
      <c r="T158" s="252"/>
      <c r="U158" s="251"/>
      <c r="V158" s="251"/>
      <c r="W158" s="253">
        <f t="shared" si="5"/>
        <v>0</v>
      </c>
      <c r="X158" s="254"/>
    </row>
    <row r="159" spans="1:24" ht="22.5" customHeight="1" x14ac:dyDescent="0.25">
      <c r="A159" s="61">
        <v>141</v>
      </c>
      <c r="B159" s="237"/>
      <c r="C159" s="237"/>
      <c r="D159" s="238"/>
      <c r="E159" s="238"/>
      <c r="F159" s="239"/>
      <c r="G159" s="239"/>
      <c r="H159" s="238"/>
      <c r="I159" s="238"/>
      <c r="J159" s="240">
        <f t="shared" si="4"/>
        <v>0</v>
      </c>
      <c r="K159" s="240"/>
      <c r="L159" s="249"/>
      <c r="M159" s="41"/>
      <c r="N159" s="61">
        <v>141</v>
      </c>
      <c r="O159" s="237"/>
      <c r="P159" s="237"/>
      <c r="Q159" s="238"/>
      <c r="R159" s="238"/>
      <c r="S159" s="239"/>
      <c r="T159" s="239"/>
      <c r="U159" s="238"/>
      <c r="V159" s="238"/>
      <c r="W159" s="256">
        <f t="shared" si="5"/>
        <v>0</v>
      </c>
      <c r="X159" s="257"/>
    </row>
    <row r="160" spans="1:24" ht="22.5" customHeight="1" x14ac:dyDescent="0.25">
      <c r="A160" s="62">
        <v>142</v>
      </c>
      <c r="B160" s="250"/>
      <c r="C160" s="250"/>
      <c r="D160" s="251"/>
      <c r="E160" s="251"/>
      <c r="F160" s="252"/>
      <c r="G160" s="252"/>
      <c r="H160" s="251"/>
      <c r="I160" s="251"/>
      <c r="J160" s="253">
        <f t="shared" si="4"/>
        <v>0</v>
      </c>
      <c r="K160" s="254"/>
      <c r="L160" s="249"/>
      <c r="M160" s="41"/>
      <c r="N160" s="62">
        <v>142</v>
      </c>
      <c r="O160" s="250"/>
      <c r="P160" s="250"/>
      <c r="Q160" s="251"/>
      <c r="R160" s="251"/>
      <c r="S160" s="252"/>
      <c r="T160" s="252"/>
      <c r="U160" s="251"/>
      <c r="V160" s="251"/>
      <c r="W160" s="253">
        <f t="shared" si="5"/>
        <v>0</v>
      </c>
      <c r="X160" s="254"/>
    </row>
    <row r="161" spans="1:24" ht="22.5" customHeight="1" x14ac:dyDescent="0.25">
      <c r="A161" s="61">
        <v>143</v>
      </c>
      <c r="B161" s="237"/>
      <c r="C161" s="237"/>
      <c r="D161" s="238"/>
      <c r="E161" s="238"/>
      <c r="F161" s="239"/>
      <c r="G161" s="239"/>
      <c r="H161" s="238"/>
      <c r="I161" s="238"/>
      <c r="J161" s="240">
        <f t="shared" si="4"/>
        <v>0</v>
      </c>
      <c r="K161" s="240"/>
      <c r="L161" s="249"/>
      <c r="M161" s="41"/>
      <c r="N161" s="61">
        <v>143</v>
      </c>
      <c r="O161" s="237"/>
      <c r="P161" s="237"/>
      <c r="Q161" s="238"/>
      <c r="R161" s="238"/>
      <c r="S161" s="239"/>
      <c r="T161" s="239"/>
      <c r="U161" s="238"/>
      <c r="V161" s="238"/>
      <c r="W161" s="256">
        <f t="shared" si="5"/>
        <v>0</v>
      </c>
      <c r="X161" s="257"/>
    </row>
    <row r="162" spans="1:24" ht="22.5" customHeight="1" x14ac:dyDescent="0.25">
      <c r="A162" s="62">
        <v>144</v>
      </c>
      <c r="B162" s="250"/>
      <c r="C162" s="250"/>
      <c r="D162" s="251"/>
      <c r="E162" s="251"/>
      <c r="F162" s="252"/>
      <c r="G162" s="252"/>
      <c r="H162" s="251"/>
      <c r="I162" s="251"/>
      <c r="J162" s="253">
        <f t="shared" si="4"/>
        <v>0</v>
      </c>
      <c r="K162" s="254"/>
      <c r="L162" s="249"/>
      <c r="M162" s="41"/>
      <c r="N162" s="62">
        <v>144</v>
      </c>
      <c r="O162" s="250"/>
      <c r="P162" s="250"/>
      <c r="Q162" s="251"/>
      <c r="R162" s="251"/>
      <c r="S162" s="252"/>
      <c r="T162" s="252"/>
      <c r="U162" s="251"/>
      <c r="V162" s="251"/>
      <c r="W162" s="253">
        <f t="shared" si="5"/>
        <v>0</v>
      </c>
      <c r="X162" s="254"/>
    </row>
    <row r="163" spans="1:24" ht="22.5" customHeight="1" x14ac:dyDescent="0.25">
      <c r="A163" s="61">
        <v>145</v>
      </c>
      <c r="B163" s="237"/>
      <c r="C163" s="237"/>
      <c r="D163" s="238"/>
      <c r="E163" s="238"/>
      <c r="F163" s="239"/>
      <c r="G163" s="239"/>
      <c r="H163" s="238"/>
      <c r="I163" s="238"/>
      <c r="J163" s="240">
        <f t="shared" si="4"/>
        <v>0</v>
      </c>
      <c r="K163" s="240"/>
      <c r="L163" s="249"/>
      <c r="M163" s="41"/>
      <c r="N163" s="61">
        <v>145</v>
      </c>
      <c r="O163" s="237"/>
      <c r="P163" s="237"/>
      <c r="Q163" s="238"/>
      <c r="R163" s="238"/>
      <c r="S163" s="239"/>
      <c r="T163" s="239"/>
      <c r="U163" s="238"/>
      <c r="V163" s="238"/>
      <c r="W163" s="256">
        <f t="shared" si="5"/>
        <v>0</v>
      </c>
      <c r="X163" s="257"/>
    </row>
    <row r="164" spans="1:24" ht="22.5" customHeight="1" x14ac:dyDescent="0.25">
      <c r="A164" s="62">
        <v>146</v>
      </c>
      <c r="B164" s="250"/>
      <c r="C164" s="250"/>
      <c r="D164" s="251"/>
      <c r="E164" s="251"/>
      <c r="F164" s="252"/>
      <c r="G164" s="252"/>
      <c r="H164" s="251"/>
      <c r="I164" s="251"/>
      <c r="J164" s="253">
        <f t="shared" si="4"/>
        <v>0</v>
      </c>
      <c r="K164" s="254"/>
      <c r="L164" s="249"/>
      <c r="M164" s="41"/>
      <c r="N164" s="62">
        <v>146</v>
      </c>
      <c r="O164" s="250"/>
      <c r="P164" s="250"/>
      <c r="Q164" s="251"/>
      <c r="R164" s="251"/>
      <c r="S164" s="252"/>
      <c r="T164" s="252"/>
      <c r="U164" s="251"/>
      <c r="V164" s="251"/>
      <c r="W164" s="253">
        <f t="shared" si="5"/>
        <v>0</v>
      </c>
      <c r="X164" s="254"/>
    </row>
    <row r="165" spans="1:24" ht="22.5" customHeight="1" x14ac:dyDescent="0.25">
      <c r="A165" s="61">
        <v>147</v>
      </c>
      <c r="B165" s="237"/>
      <c r="C165" s="237"/>
      <c r="D165" s="238"/>
      <c r="E165" s="238"/>
      <c r="F165" s="239"/>
      <c r="G165" s="239"/>
      <c r="H165" s="238"/>
      <c r="I165" s="238"/>
      <c r="J165" s="240">
        <f t="shared" si="4"/>
        <v>0</v>
      </c>
      <c r="K165" s="240"/>
      <c r="L165" s="249"/>
      <c r="M165" s="41"/>
      <c r="N165" s="61">
        <v>147</v>
      </c>
      <c r="O165" s="237"/>
      <c r="P165" s="237"/>
      <c r="Q165" s="238"/>
      <c r="R165" s="238"/>
      <c r="S165" s="239"/>
      <c r="T165" s="239"/>
      <c r="U165" s="238"/>
      <c r="V165" s="238"/>
      <c r="W165" s="256">
        <f t="shared" si="5"/>
        <v>0</v>
      </c>
      <c r="X165" s="257"/>
    </row>
    <row r="166" spans="1:24" ht="22.5" customHeight="1" x14ac:dyDescent="0.25">
      <c r="A166" s="62">
        <v>148</v>
      </c>
      <c r="B166" s="250"/>
      <c r="C166" s="250"/>
      <c r="D166" s="251"/>
      <c r="E166" s="251"/>
      <c r="F166" s="252"/>
      <c r="G166" s="252"/>
      <c r="H166" s="251"/>
      <c r="I166" s="251"/>
      <c r="J166" s="253">
        <f t="shared" si="4"/>
        <v>0</v>
      </c>
      <c r="K166" s="254"/>
      <c r="L166" s="249"/>
      <c r="M166" s="41"/>
      <c r="N166" s="62">
        <v>148</v>
      </c>
      <c r="O166" s="250"/>
      <c r="P166" s="250"/>
      <c r="Q166" s="251"/>
      <c r="R166" s="251"/>
      <c r="S166" s="252"/>
      <c r="T166" s="252"/>
      <c r="U166" s="251"/>
      <c r="V166" s="251"/>
      <c r="W166" s="253">
        <f t="shared" si="5"/>
        <v>0</v>
      </c>
      <c r="X166" s="254"/>
    </row>
    <row r="167" spans="1:24" ht="22.5" customHeight="1" x14ac:dyDescent="0.25">
      <c r="A167" s="61">
        <v>149</v>
      </c>
      <c r="B167" s="237"/>
      <c r="C167" s="237"/>
      <c r="D167" s="238"/>
      <c r="E167" s="238"/>
      <c r="F167" s="239"/>
      <c r="G167" s="239"/>
      <c r="H167" s="238"/>
      <c r="I167" s="238"/>
      <c r="J167" s="240">
        <f t="shared" si="4"/>
        <v>0</v>
      </c>
      <c r="K167" s="240"/>
      <c r="L167" s="249"/>
      <c r="M167" s="41"/>
      <c r="N167" s="61">
        <v>149</v>
      </c>
      <c r="O167" s="237"/>
      <c r="P167" s="237"/>
      <c r="Q167" s="238"/>
      <c r="R167" s="238"/>
      <c r="S167" s="239"/>
      <c r="T167" s="239"/>
      <c r="U167" s="238"/>
      <c r="V167" s="238"/>
      <c r="W167" s="256">
        <f t="shared" si="5"/>
        <v>0</v>
      </c>
      <c r="X167" s="257"/>
    </row>
    <row r="168" spans="1:24" ht="22.5" customHeight="1" x14ac:dyDescent="0.25">
      <c r="A168" s="62">
        <v>150</v>
      </c>
      <c r="B168" s="250"/>
      <c r="C168" s="250"/>
      <c r="D168" s="251"/>
      <c r="E168" s="251"/>
      <c r="F168" s="252"/>
      <c r="G168" s="252"/>
      <c r="H168" s="251"/>
      <c r="I168" s="251"/>
      <c r="J168" s="253">
        <f t="shared" si="4"/>
        <v>0</v>
      </c>
      <c r="K168" s="254"/>
      <c r="L168" s="249"/>
      <c r="M168" s="41"/>
      <c r="N168" s="62">
        <v>150</v>
      </c>
      <c r="O168" s="250"/>
      <c r="P168" s="250"/>
      <c r="Q168" s="251"/>
      <c r="R168" s="251"/>
      <c r="S168" s="252"/>
      <c r="T168" s="252"/>
      <c r="U168" s="251"/>
      <c r="V168" s="251"/>
      <c r="W168" s="253">
        <f t="shared" si="5"/>
        <v>0</v>
      </c>
      <c r="X168" s="254"/>
    </row>
    <row r="169" spans="1:24" ht="22.5" customHeight="1" x14ac:dyDescent="0.25">
      <c r="A169" s="61">
        <v>151</v>
      </c>
      <c r="B169" s="237"/>
      <c r="C169" s="237"/>
      <c r="D169" s="238"/>
      <c r="E169" s="238"/>
      <c r="F169" s="239"/>
      <c r="G169" s="239"/>
      <c r="H169" s="238"/>
      <c r="I169" s="238"/>
      <c r="J169" s="240">
        <f t="shared" si="4"/>
        <v>0</v>
      </c>
      <c r="K169" s="240"/>
      <c r="L169" s="249"/>
      <c r="M169" s="41"/>
      <c r="N169" s="61">
        <v>151</v>
      </c>
      <c r="O169" s="237"/>
      <c r="P169" s="237"/>
      <c r="Q169" s="238"/>
      <c r="R169" s="238"/>
      <c r="S169" s="239"/>
      <c r="T169" s="239"/>
      <c r="U169" s="238"/>
      <c r="V169" s="238"/>
      <c r="W169" s="256">
        <f t="shared" si="5"/>
        <v>0</v>
      </c>
      <c r="X169" s="257"/>
    </row>
    <row r="170" spans="1:24" ht="22.5" customHeight="1" x14ac:dyDescent="0.25">
      <c r="A170" s="62">
        <v>152</v>
      </c>
      <c r="B170" s="250"/>
      <c r="C170" s="250"/>
      <c r="D170" s="251"/>
      <c r="E170" s="251"/>
      <c r="F170" s="252"/>
      <c r="G170" s="252"/>
      <c r="H170" s="251"/>
      <c r="I170" s="251"/>
      <c r="J170" s="253">
        <f t="shared" si="4"/>
        <v>0</v>
      </c>
      <c r="K170" s="254"/>
      <c r="L170" s="249"/>
      <c r="M170" s="41"/>
      <c r="N170" s="62">
        <v>152</v>
      </c>
      <c r="O170" s="250"/>
      <c r="P170" s="250"/>
      <c r="Q170" s="251"/>
      <c r="R170" s="251"/>
      <c r="S170" s="252"/>
      <c r="T170" s="252"/>
      <c r="U170" s="251"/>
      <c r="V170" s="251"/>
      <c r="W170" s="253">
        <f t="shared" si="5"/>
        <v>0</v>
      </c>
      <c r="X170" s="254"/>
    </row>
    <row r="171" spans="1:24" ht="22.5" customHeight="1" x14ac:dyDescent="0.25">
      <c r="A171" s="61">
        <v>153</v>
      </c>
      <c r="B171" s="237"/>
      <c r="C171" s="237"/>
      <c r="D171" s="238"/>
      <c r="E171" s="238"/>
      <c r="F171" s="239"/>
      <c r="G171" s="239"/>
      <c r="H171" s="238"/>
      <c r="I171" s="238"/>
      <c r="J171" s="240">
        <f t="shared" si="4"/>
        <v>0</v>
      </c>
      <c r="K171" s="240"/>
      <c r="L171" s="249"/>
      <c r="M171" s="41"/>
      <c r="N171" s="61">
        <v>153</v>
      </c>
      <c r="O171" s="237"/>
      <c r="P171" s="237"/>
      <c r="Q171" s="238"/>
      <c r="R171" s="238"/>
      <c r="S171" s="239"/>
      <c r="T171" s="239"/>
      <c r="U171" s="238"/>
      <c r="V171" s="238"/>
      <c r="W171" s="256">
        <f t="shared" si="5"/>
        <v>0</v>
      </c>
      <c r="X171" s="257"/>
    </row>
    <row r="172" spans="1:24" ht="22.5" customHeight="1" x14ac:dyDescent="0.25">
      <c r="A172" s="62">
        <v>154</v>
      </c>
      <c r="B172" s="250"/>
      <c r="C172" s="250"/>
      <c r="D172" s="251"/>
      <c r="E172" s="251"/>
      <c r="F172" s="252"/>
      <c r="G172" s="252"/>
      <c r="H172" s="251"/>
      <c r="I172" s="251"/>
      <c r="J172" s="253">
        <f t="shared" si="4"/>
        <v>0</v>
      </c>
      <c r="K172" s="254"/>
      <c r="L172" s="249"/>
      <c r="M172" s="41"/>
      <c r="N172" s="62">
        <v>154</v>
      </c>
      <c r="O172" s="250"/>
      <c r="P172" s="250"/>
      <c r="Q172" s="251"/>
      <c r="R172" s="251"/>
      <c r="S172" s="252"/>
      <c r="T172" s="252"/>
      <c r="U172" s="251"/>
      <c r="V172" s="251"/>
      <c r="W172" s="253">
        <f t="shared" si="5"/>
        <v>0</v>
      </c>
      <c r="X172" s="254"/>
    </row>
    <row r="173" spans="1:24" ht="22.5" customHeight="1" x14ac:dyDescent="0.25">
      <c r="A173" s="61">
        <v>155</v>
      </c>
      <c r="B173" s="237"/>
      <c r="C173" s="237"/>
      <c r="D173" s="238"/>
      <c r="E173" s="238"/>
      <c r="F173" s="239"/>
      <c r="G173" s="239"/>
      <c r="H173" s="238"/>
      <c r="I173" s="238"/>
      <c r="J173" s="240">
        <f t="shared" si="4"/>
        <v>0</v>
      </c>
      <c r="K173" s="240"/>
      <c r="L173" s="249"/>
      <c r="M173" s="41"/>
      <c r="N173" s="61">
        <v>155</v>
      </c>
      <c r="O173" s="237"/>
      <c r="P173" s="237"/>
      <c r="Q173" s="238"/>
      <c r="R173" s="238"/>
      <c r="S173" s="239"/>
      <c r="T173" s="239"/>
      <c r="U173" s="238"/>
      <c r="V173" s="238"/>
      <c r="W173" s="256">
        <f t="shared" si="5"/>
        <v>0</v>
      </c>
      <c r="X173" s="257"/>
    </row>
    <row r="174" spans="1:24" ht="22.5" customHeight="1" x14ac:dyDescent="0.25">
      <c r="A174" s="62">
        <v>156</v>
      </c>
      <c r="B174" s="250"/>
      <c r="C174" s="250"/>
      <c r="D174" s="251"/>
      <c r="E174" s="251"/>
      <c r="F174" s="252"/>
      <c r="G174" s="252"/>
      <c r="H174" s="251"/>
      <c r="I174" s="251"/>
      <c r="J174" s="253">
        <f t="shared" si="4"/>
        <v>0</v>
      </c>
      <c r="K174" s="254"/>
      <c r="L174" s="249"/>
      <c r="M174" s="41"/>
      <c r="N174" s="62">
        <v>156</v>
      </c>
      <c r="O174" s="250"/>
      <c r="P174" s="250"/>
      <c r="Q174" s="251"/>
      <c r="R174" s="251"/>
      <c r="S174" s="252"/>
      <c r="T174" s="252"/>
      <c r="U174" s="251"/>
      <c r="V174" s="251"/>
      <c r="W174" s="253">
        <f t="shared" si="5"/>
        <v>0</v>
      </c>
      <c r="X174" s="254"/>
    </row>
    <row r="175" spans="1:24" ht="22.5" customHeight="1" x14ac:dyDescent="0.25">
      <c r="A175" s="61">
        <v>157</v>
      </c>
      <c r="B175" s="237"/>
      <c r="C175" s="237"/>
      <c r="D175" s="238"/>
      <c r="E175" s="238"/>
      <c r="F175" s="239"/>
      <c r="G175" s="239"/>
      <c r="H175" s="238"/>
      <c r="I175" s="238"/>
      <c r="J175" s="240">
        <f t="shared" si="4"/>
        <v>0</v>
      </c>
      <c r="K175" s="240"/>
      <c r="L175" s="249"/>
      <c r="M175" s="41"/>
      <c r="N175" s="61">
        <v>157</v>
      </c>
      <c r="O175" s="237"/>
      <c r="P175" s="237"/>
      <c r="Q175" s="238"/>
      <c r="R175" s="238"/>
      <c r="S175" s="239"/>
      <c r="T175" s="239"/>
      <c r="U175" s="238"/>
      <c r="V175" s="238"/>
      <c r="W175" s="256">
        <f t="shared" si="5"/>
        <v>0</v>
      </c>
      <c r="X175" s="257"/>
    </row>
    <row r="176" spans="1:24" ht="22.5" customHeight="1" x14ac:dyDescent="0.25">
      <c r="A176" s="62">
        <v>158</v>
      </c>
      <c r="B176" s="250"/>
      <c r="C176" s="250"/>
      <c r="D176" s="251"/>
      <c r="E176" s="251"/>
      <c r="F176" s="252"/>
      <c r="G176" s="252"/>
      <c r="H176" s="251"/>
      <c r="I176" s="251"/>
      <c r="J176" s="253">
        <f t="shared" si="4"/>
        <v>0</v>
      </c>
      <c r="K176" s="254"/>
      <c r="L176" s="249"/>
      <c r="M176" s="41"/>
      <c r="N176" s="62">
        <v>158</v>
      </c>
      <c r="O176" s="250"/>
      <c r="P176" s="250"/>
      <c r="Q176" s="251"/>
      <c r="R176" s="251"/>
      <c r="S176" s="252"/>
      <c r="T176" s="252"/>
      <c r="U176" s="251"/>
      <c r="V176" s="251"/>
      <c r="W176" s="253">
        <f t="shared" si="5"/>
        <v>0</v>
      </c>
      <c r="X176" s="254"/>
    </row>
    <row r="177" spans="1:24" ht="22.5" customHeight="1" x14ac:dyDescent="0.25">
      <c r="A177" s="61">
        <v>159</v>
      </c>
      <c r="B177" s="237"/>
      <c r="C177" s="237"/>
      <c r="D177" s="238"/>
      <c r="E177" s="238"/>
      <c r="F177" s="239"/>
      <c r="G177" s="239"/>
      <c r="H177" s="238"/>
      <c r="I177" s="238"/>
      <c r="J177" s="240">
        <f t="shared" si="4"/>
        <v>0</v>
      </c>
      <c r="K177" s="240"/>
      <c r="L177" s="249"/>
      <c r="M177" s="41"/>
      <c r="N177" s="61">
        <v>159</v>
      </c>
      <c r="O177" s="237"/>
      <c r="P177" s="237"/>
      <c r="Q177" s="238"/>
      <c r="R177" s="238"/>
      <c r="S177" s="239"/>
      <c r="T177" s="239"/>
      <c r="U177" s="238"/>
      <c r="V177" s="238"/>
      <c r="W177" s="256">
        <f t="shared" si="5"/>
        <v>0</v>
      </c>
      <c r="X177" s="257"/>
    </row>
    <row r="178" spans="1:24" ht="22.5" customHeight="1" x14ac:dyDescent="0.25">
      <c r="A178" s="62">
        <v>160</v>
      </c>
      <c r="B178" s="250"/>
      <c r="C178" s="250"/>
      <c r="D178" s="251"/>
      <c r="E178" s="251"/>
      <c r="F178" s="252"/>
      <c r="G178" s="252"/>
      <c r="H178" s="251"/>
      <c r="I178" s="251"/>
      <c r="J178" s="253">
        <f t="shared" si="4"/>
        <v>0</v>
      </c>
      <c r="K178" s="254"/>
      <c r="L178" s="249"/>
      <c r="M178" s="41"/>
      <c r="N178" s="62">
        <v>160</v>
      </c>
      <c r="O178" s="250"/>
      <c r="P178" s="250"/>
      <c r="Q178" s="251"/>
      <c r="R178" s="251"/>
      <c r="S178" s="252"/>
      <c r="T178" s="252"/>
      <c r="U178" s="251"/>
      <c r="V178" s="251"/>
      <c r="W178" s="253">
        <f t="shared" si="5"/>
        <v>0</v>
      </c>
      <c r="X178" s="254"/>
    </row>
    <row r="179" spans="1:24" ht="22.5" customHeight="1" x14ac:dyDescent="0.25">
      <c r="A179" s="61">
        <v>161</v>
      </c>
      <c r="B179" s="237"/>
      <c r="C179" s="237"/>
      <c r="D179" s="238"/>
      <c r="E179" s="238"/>
      <c r="F179" s="239"/>
      <c r="G179" s="239"/>
      <c r="H179" s="238"/>
      <c r="I179" s="238"/>
      <c r="J179" s="240">
        <f t="shared" si="4"/>
        <v>0</v>
      </c>
      <c r="K179" s="240"/>
      <c r="L179" s="249"/>
      <c r="M179" s="41"/>
      <c r="N179" s="61">
        <v>161</v>
      </c>
      <c r="O179" s="237"/>
      <c r="P179" s="237"/>
      <c r="Q179" s="238"/>
      <c r="R179" s="238"/>
      <c r="S179" s="239"/>
      <c r="T179" s="239"/>
      <c r="U179" s="238"/>
      <c r="V179" s="238"/>
      <c r="W179" s="256">
        <f t="shared" si="5"/>
        <v>0</v>
      </c>
      <c r="X179" s="257"/>
    </row>
    <row r="180" spans="1:24" ht="22.5" customHeight="1" x14ac:dyDescent="0.25">
      <c r="A180" s="62">
        <v>162</v>
      </c>
      <c r="B180" s="250"/>
      <c r="C180" s="250"/>
      <c r="D180" s="251"/>
      <c r="E180" s="251"/>
      <c r="F180" s="252"/>
      <c r="G180" s="252"/>
      <c r="H180" s="251"/>
      <c r="I180" s="251"/>
      <c r="J180" s="253">
        <f t="shared" si="4"/>
        <v>0</v>
      </c>
      <c r="K180" s="254"/>
      <c r="L180" s="249"/>
      <c r="M180" s="41"/>
      <c r="N180" s="62">
        <v>162</v>
      </c>
      <c r="O180" s="250"/>
      <c r="P180" s="250"/>
      <c r="Q180" s="251"/>
      <c r="R180" s="251"/>
      <c r="S180" s="252"/>
      <c r="T180" s="252"/>
      <c r="U180" s="251"/>
      <c r="V180" s="251"/>
      <c r="W180" s="253">
        <f t="shared" si="5"/>
        <v>0</v>
      </c>
      <c r="X180" s="254"/>
    </row>
    <row r="181" spans="1:24" ht="22.5" customHeight="1" x14ac:dyDescent="0.25">
      <c r="A181" s="61">
        <v>163</v>
      </c>
      <c r="B181" s="237"/>
      <c r="C181" s="237"/>
      <c r="D181" s="238"/>
      <c r="E181" s="238"/>
      <c r="F181" s="239"/>
      <c r="G181" s="239"/>
      <c r="H181" s="238"/>
      <c r="I181" s="238"/>
      <c r="J181" s="240">
        <f t="shared" si="4"/>
        <v>0</v>
      </c>
      <c r="K181" s="240"/>
      <c r="L181" s="249"/>
      <c r="M181" s="41"/>
      <c r="N181" s="61">
        <v>163</v>
      </c>
      <c r="O181" s="237"/>
      <c r="P181" s="237"/>
      <c r="Q181" s="238"/>
      <c r="R181" s="238"/>
      <c r="S181" s="239"/>
      <c r="T181" s="239"/>
      <c r="U181" s="238"/>
      <c r="V181" s="238"/>
      <c r="W181" s="256">
        <f t="shared" si="5"/>
        <v>0</v>
      </c>
      <c r="X181" s="257"/>
    </row>
    <row r="182" spans="1:24" ht="22.5" customHeight="1" x14ac:dyDescent="0.25">
      <c r="A182" s="62">
        <v>164</v>
      </c>
      <c r="B182" s="250"/>
      <c r="C182" s="250"/>
      <c r="D182" s="251"/>
      <c r="E182" s="251"/>
      <c r="F182" s="252"/>
      <c r="G182" s="252"/>
      <c r="H182" s="251"/>
      <c r="I182" s="251"/>
      <c r="J182" s="253">
        <f t="shared" si="4"/>
        <v>0</v>
      </c>
      <c r="K182" s="254"/>
      <c r="L182" s="249"/>
      <c r="M182" s="41"/>
      <c r="N182" s="62">
        <v>164</v>
      </c>
      <c r="O182" s="250"/>
      <c r="P182" s="250"/>
      <c r="Q182" s="251"/>
      <c r="R182" s="251"/>
      <c r="S182" s="252"/>
      <c r="T182" s="252"/>
      <c r="U182" s="251"/>
      <c r="V182" s="251"/>
      <c r="W182" s="253">
        <f t="shared" si="5"/>
        <v>0</v>
      </c>
      <c r="X182" s="254"/>
    </row>
    <row r="183" spans="1:24" ht="22.5" customHeight="1" x14ac:dyDescent="0.25">
      <c r="A183" s="61">
        <v>165</v>
      </c>
      <c r="B183" s="237"/>
      <c r="C183" s="237"/>
      <c r="D183" s="238"/>
      <c r="E183" s="238"/>
      <c r="F183" s="239"/>
      <c r="G183" s="239"/>
      <c r="H183" s="238"/>
      <c r="I183" s="238"/>
      <c r="J183" s="240">
        <f t="shared" si="4"/>
        <v>0</v>
      </c>
      <c r="K183" s="240"/>
      <c r="L183" s="249"/>
      <c r="M183" s="41"/>
      <c r="N183" s="61">
        <v>165</v>
      </c>
      <c r="O183" s="237"/>
      <c r="P183" s="237"/>
      <c r="Q183" s="238"/>
      <c r="R183" s="238"/>
      <c r="S183" s="239"/>
      <c r="T183" s="239"/>
      <c r="U183" s="238"/>
      <c r="V183" s="238"/>
      <c r="W183" s="256">
        <f t="shared" si="5"/>
        <v>0</v>
      </c>
      <c r="X183" s="257"/>
    </row>
    <row r="184" spans="1:24" ht="22.5" customHeight="1" x14ac:dyDescent="0.25">
      <c r="A184" s="62">
        <v>166</v>
      </c>
      <c r="B184" s="250"/>
      <c r="C184" s="250"/>
      <c r="D184" s="251"/>
      <c r="E184" s="251"/>
      <c r="F184" s="252"/>
      <c r="G184" s="252"/>
      <c r="H184" s="251"/>
      <c r="I184" s="251"/>
      <c r="J184" s="253">
        <f t="shared" si="4"/>
        <v>0</v>
      </c>
      <c r="K184" s="254"/>
      <c r="L184" s="249"/>
      <c r="M184" s="41"/>
      <c r="N184" s="62">
        <v>166</v>
      </c>
      <c r="O184" s="250"/>
      <c r="P184" s="250"/>
      <c r="Q184" s="251"/>
      <c r="R184" s="251"/>
      <c r="S184" s="252"/>
      <c r="T184" s="252"/>
      <c r="U184" s="251"/>
      <c r="V184" s="251"/>
      <c r="W184" s="253">
        <f t="shared" si="5"/>
        <v>0</v>
      </c>
      <c r="X184" s="254"/>
    </row>
    <row r="185" spans="1:24" ht="22.5" customHeight="1" x14ac:dyDescent="0.25">
      <c r="A185" s="61">
        <v>167</v>
      </c>
      <c r="B185" s="237"/>
      <c r="C185" s="237"/>
      <c r="D185" s="238"/>
      <c r="E185" s="238"/>
      <c r="F185" s="239"/>
      <c r="G185" s="239"/>
      <c r="H185" s="238"/>
      <c r="I185" s="238"/>
      <c r="J185" s="240">
        <f t="shared" si="4"/>
        <v>0</v>
      </c>
      <c r="K185" s="240"/>
      <c r="L185" s="249"/>
      <c r="M185" s="41"/>
      <c r="N185" s="61">
        <v>167</v>
      </c>
      <c r="O185" s="237"/>
      <c r="P185" s="237"/>
      <c r="Q185" s="238"/>
      <c r="R185" s="238"/>
      <c r="S185" s="239"/>
      <c r="T185" s="239"/>
      <c r="U185" s="238"/>
      <c r="V185" s="238"/>
      <c r="W185" s="256">
        <f t="shared" si="5"/>
        <v>0</v>
      </c>
      <c r="X185" s="257"/>
    </row>
    <row r="186" spans="1:24" ht="22.5" customHeight="1" x14ac:dyDescent="0.25">
      <c r="A186" s="62">
        <v>168</v>
      </c>
      <c r="B186" s="250"/>
      <c r="C186" s="250"/>
      <c r="D186" s="251"/>
      <c r="E186" s="251"/>
      <c r="F186" s="252"/>
      <c r="G186" s="252"/>
      <c r="H186" s="251"/>
      <c r="I186" s="251"/>
      <c r="J186" s="253">
        <f t="shared" si="4"/>
        <v>0</v>
      </c>
      <c r="K186" s="254"/>
      <c r="L186" s="249"/>
      <c r="M186" s="41"/>
      <c r="N186" s="62">
        <v>168</v>
      </c>
      <c r="O186" s="250"/>
      <c r="P186" s="250"/>
      <c r="Q186" s="251"/>
      <c r="R186" s="251"/>
      <c r="S186" s="252"/>
      <c r="T186" s="252"/>
      <c r="U186" s="251"/>
      <c r="V186" s="251"/>
      <c r="W186" s="253">
        <f t="shared" si="5"/>
        <v>0</v>
      </c>
      <c r="X186" s="254"/>
    </row>
    <row r="187" spans="1:24" ht="22.5" customHeight="1" x14ac:dyDescent="0.25">
      <c r="A187" s="61">
        <v>169</v>
      </c>
      <c r="B187" s="237"/>
      <c r="C187" s="237"/>
      <c r="D187" s="238"/>
      <c r="E187" s="238"/>
      <c r="F187" s="239"/>
      <c r="G187" s="239"/>
      <c r="H187" s="238"/>
      <c r="I187" s="238"/>
      <c r="J187" s="240">
        <f t="shared" si="4"/>
        <v>0</v>
      </c>
      <c r="K187" s="240"/>
      <c r="L187" s="249"/>
      <c r="M187" s="41"/>
      <c r="N187" s="61">
        <v>169</v>
      </c>
      <c r="O187" s="237"/>
      <c r="P187" s="237"/>
      <c r="Q187" s="238"/>
      <c r="R187" s="238"/>
      <c r="S187" s="239"/>
      <c r="T187" s="239"/>
      <c r="U187" s="238"/>
      <c r="V187" s="238"/>
      <c r="W187" s="256">
        <f t="shared" si="5"/>
        <v>0</v>
      </c>
      <c r="X187" s="257"/>
    </row>
    <row r="188" spans="1:24" ht="22.5" customHeight="1" x14ac:dyDescent="0.25">
      <c r="A188" s="62">
        <v>170</v>
      </c>
      <c r="B188" s="250"/>
      <c r="C188" s="250"/>
      <c r="D188" s="251"/>
      <c r="E188" s="251"/>
      <c r="F188" s="252"/>
      <c r="G188" s="252"/>
      <c r="H188" s="251"/>
      <c r="I188" s="251"/>
      <c r="J188" s="253">
        <f t="shared" si="4"/>
        <v>0</v>
      </c>
      <c r="K188" s="254"/>
      <c r="L188" s="249"/>
      <c r="M188" s="41"/>
      <c r="N188" s="62">
        <v>170</v>
      </c>
      <c r="O188" s="250"/>
      <c r="P188" s="250"/>
      <c r="Q188" s="251"/>
      <c r="R188" s="251"/>
      <c r="S188" s="252"/>
      <c r="T188" s="252"/>
      <c r="U188" s="251"/>
      <c r="V188" s="251"/>
      <c r="W188" s="253">
        <f t="shared" si="5"/>
        <v>0</v>
      </c>
      <c r="X188" s="254"/>
    </row>
    <row r="189" spans="1:24" ht="22.5" customHeight="1" x14ac:dyDescent="0.25">
      <c r="A189" s="61">
        <v>171</v>
      </c>
      <c r="B189" s="237"/>
      <c r="C189" s="237"/>
      <c r="D189" s="238"/>
      <c r="E189" s="238"/>
      <c r="F189" s="239"/>
      <c r="G189" s="239"/>
      <c r="H189" s="238"/>
      <c r="I189" s="238"/>
      <c r="J189" s="240">
        <f t="shared" si="4"/>
        <v>0</v>
      </c>
      <c r="K189" s="240"/>
      <c r="L189" s="249"/>
      <c r="M189" s="41"/>
      <c r="N189" s="61">
        <v>171</v>
      </c>
      <c r="O189" s="237"/>
      <c r="P189" s="237"/>
      <c r="Q189" s="238"/>
      <c r="R189" s="238"/>
      <c r="S189" s="239"/>
      <c r="T189" s="239"/>
      <c r="U189" s="238"/>
      <c r="V189" s="238"/>
      <c r="W189" s="256">
        <f t="shared" si="5"/>
        <v>0</v>
      </c>
      <c r="X189" s="257"/>
    </row>
    <row r="190" spans="1:24" ht="22.5" customHeight="1" x14ac:dyDescent="0.25">
      <c r="A190" s="62">
        <v>172</v>
      </c>
      <c r="B190" s="250"/>
      <c r="C190" s="250"/>
      <c r="D190" s="251"/>
      <c r="E190" s="251"/>
      <c r="F190" s="252"/>
      <c r="G190" s="252"/>
      <c r="H190" s="251"/>
      <c r="I190" s="251"/>
      <c r="J190" s="253">
        <f t="shared" si="4"/>
        <v>0</v>
      </c>
      <c r="K190" s="254"/>
      <c r="L190" s="249"/>
      <c r="M190" s="41"/>
      <c r="N190" s="62">
        <v>172</v>
      </c>
      <c r="O190" s="250"/>
      <c r="P190" s="250"/>
      <c r="Q190" s="251"/>
      <c r="R190" s="251"/>
      <c r="S190" s="252"/>
      <c r="T190" s="252"/>
      <c r="U190" s="251"/>
      <c r="V190" s="251"/>
      <c r="W190" s="253">
        <f t="shared" si="5"/>
        <v>0</v>
      </c>
      <c r="X190" s="254"/>
    </row>
    <row r="191" spans="1:24" ht="22.5" customHeight="1" x14ac:dyDescent="0.25">
      <c r="A191" s="61">
        <v>173</v>
      </c>
      <c r="B191" s="237"/>
      <c r="C191" s="237"/>
      <c r="D191" s="238"/>
      <c r="E191" s="238"/>
      <c r="F191" s="239"/>
      <c r="G191" s="239"/>
      <c r="H191" s="238"/>
      <c r="I191" s="238"/>
      <c r="J191" s="240">
        <f t="shared" si="4"/>
        <v>0</v>
      </c>
      <c r="K191" s="240"/>
      <c r="L191" s="249"/>
      <c r="M191" s="41"/>
      <c r="N191" s="61">
        <v>173</v>
      </c>
      <c r="O191" s="237"/>
      <c r="P191" s="237"/>
      <c r="Q191" s="238"/>
      <c r="R191" s="238"/>
      <c r="S191" s="239"/>
      <c r="T191" s="239"/>
      <c r="U191" s="238"/>
      <c r="V191" s="238"/>
      <c r="W191" s="256">
        <f t="shared" si="5"/>
        <v>0</v>
      </c>
      <c r="X191" s="257"/>
    </row>
    <row r="192" spans="1:24" ht="22.5" customHeight="1" x14ac:dyDescent="0.25">
      <c r="A192" s="62">
        <v>174</v>
      </c>
      <c r="B192" s="250"/>
      <c r="C192" s="250"/>
      <c r="D192" s="251"/>
      <c r="E192" s="251"/>
      <c r="F192" s="252"/>
      <c r="G192" s="252"/>
      <c r="H192" s="251"/>
      <c r="I192" s="251"/>
      <c r="J192" s="253">
        <f t="shared" si="4"/>
        <v>0</v>
      </c>
      <c r="K192" s="254"/>
      <c r="L192" s="249"/>
      <c r="M192" s="41"/>
      <c r="N192" s="62">
        <v>174</v>
      </c>
      <c r="O192" s="250"/>
      <c r="P192" s="250"/>
      <c r="Q192" s="251"/>
      <c r="R192" s="251"/>
      <c r="S192" s="252"/>
      <c r="T192" s="252"/>
      <c r="U192" s="251"/>
      <c r="V192" s="251"/>
      <c r="W192" s="253">
        <f t="shared" si="5"/>
        <v>0</v>
      </c>
      <c r="X192" s="254"/>
    </row>
    <row r="193" spans="1:24" ht="22.5" customHeight="1" x14ac:dyDescent="0.25">
      <c r="A193" s="61">
        <v>175</v>
      </c>
      <c r="B193" s="237"/>
      <c r="C193" s="237"/>
      <c r="D193" s="238"/>
      <c r="E193" s="238"/>
      <c r="F193" s="239"/>
      <c r="G193" s="239"/>
      <c r="H193" s="238"/>
      <c r="I193" s="238"/>
      <c r="J193" s="240">
        <f t="shared" si="4"/>
        <v>0</v>
      </c>
      <c r="K193" s="240"/>
      <c r="L193" s="249"/>
      <c r="M193" s="41"/>
      <c r="N193" s="61">
        <v>175</v>
      </c>
      <c r="O193" s="237"/>
      <c r="P193" s="237"/>
      <c r="Q193" s="238"/>
      <c r="R193" s="238"/>
      <c r="S193" s="239"/>
      <c r="T193" s="239"/>
      <c r="U193" s="238"/>
      <c r="V193" s="238"/>
      <c r="W193" s="256">
        <f t="shared" si="5"/>
        <v>0</v>
      </c>
      <c r="X193" s="257"/>
    </row>
    <row r="194" spans="1:24" ht="22.5" customHeight="1" x14ac:dyDescent="0.25">
      <c r="A194" s="62">
        <v>176</v>
      </c>
      <c r="B194" s="250"/>
      <c r="C194" s="250"/>
      <c r="D194" s="251"/>
      <c r="E194" s="251"/>
      <c r="F194" s="252"/>
      <c r="G194" s="252"/>
      <c r="H194" s="251"/>
      <c r="I194" s="251"/>
      <c r="J194" s="253">
        <f t="shared" si="4"/>
        <v>0</v>
      </c>
      <c r="K194" s="254"/>
      <c r="L194" s="249"/>
      <c r="M194" s="41"/>
      <c r="N194" s="62">
        <v>176</v>
      </c>
      <c r="O194" s="250"/>
      <c r="P194" s="250"/>
      <c r="Q194" s="251"/>
      <c r="R194" s="251"/>
      <c r="S194" s="252"/>
      <c r="T194" s="252"/>
      <c r="U194" s="251"/>
      <c r="V194" s="251"/>
      <c r="W194" s="253">
        <f t="shared" si="5"/>
        <v>0</v>
      </c>
      <c r="X194" s="254"/>
    </row>
    <row r="195" spans="1:24" ht="22.5" customHeight="1" x14ac:dyDescent="0.25">
      <c r="A195" s="61">
        <v>177</v>
      </c>
      <c r="B195" s="237"/>
      <c r="C195" s="237"/>
      <c r="D195" s="238"/>
      <c r="E195" s="238"/>
      <c r="F195" s="239"/>
      <c r="G195" s="239"/>
      <c r="H195" s="238"/>
      <c r="I195" s="238"/>
      <c r="J195" s="240">
        <f t="shared" si="4"/>
        <v>0</v>
      </c>
      <c r="K195" s="240"/>
      <c r="L195" s="249"/>
      <c r="M195" s="41"/>
      <c r="N195" s="61">
        <v>177</v>
      </c>
      <c r="O195" s="237"/>
      <c r="P195" s="237"/>
      <c r="Q195" s="238"/>
      <c r="R195" s="238"/>
      <c r="S195" s="239"/>
      <c r="T195" s="239"/>
      <c r="U195" s="238"/>
      <c r="V195" s="238"/>
      <c r="W195" s="256">
        <f t="shared" si="5"/>
        <v>0</v>
      </c>
      <c r="X195" s="257"/>
    </row>
    <row r="196" spans="1:24" ht="22.5" customHeight="1" x14ac:dyDescent="0.25">
      <c r="A196" s="62">
        <v>178</v>
      </c>
      <c r="B196" s="250"/>
      <c r="C196" s="250"/>
      <c r="D196" s="251"/>
      <c r="E196" s="251"/>
      <c r="F196" s="252"/>
      <c r="G196" s="252"/>
      <c r="H196" s="251"/>
      <c r="I196" s="251"/>
      <c r="J196" s="253">
        <f t="shared" si="4"/>
        <v>0</v>
      </c>
      <c r="K196" s="254"/>
      <c r="L196" s="249"/>
      <c r="M196" s="41"/>
      <c r="N196" s="62">
        <v>178</v>
      </c>
      <c r="O196" s="250"/>
      <c r="P196" s="250"/>
      <c r="Q196" s="251"/>
      <c r="R196" s="251"/>
      <c r="S196" s="252"/>
      <c r="T196" s="252"/>
      <c r="U196" s="251"/>
      <c r="V196" s="251"/>
      <c r="W196" s="253">
        <f t="shared" si="5"/>
        <v>0</v>
      </c>
      <c r="X196" s="254"/>
    </row>
    <row r="197" spans="1:24" ht="22.5" customHeight="1" x14ac:dyDescent="0.25">
      <c r="A197" s="61">
        <v>179</v>
      </c>
      <c r="B197" s="237"/>
      <c r="C197" s="237"/>
      <c r="D197" s="238"/>
      <c r="E197" s="238"/>
      <c r="F197" s="239"/>
      <c r="G197" s="239"/>
      <c r="H197" s="238"/>
      <c r="I197" s="238"/>
      <c r="J197" s="240">
        <f t="shared" si="4"/>
        <v>0</v>
      </c>
      <c r="K197" s="240"/>
      <c r="L197" s="249"/>
      <c r="M197" s="41"/>
      <c r="N197" s="61">
        <v>179</v>
      </c>
      <c r="O197" s="237"/>
      <c r="P197" s="237"/>
      <c r="Q197" s="238"/>
      <c r="R197" s="238"/>
      <c r="S197" s="239"/>
      <c r="T197" s="239"/>
      <c r="U197" s="238"/>
      <c r="V197" s="238"/>
      <c r="W197" s="256">
        <f t="shared" si="5"/>
        <v>0</v>
      </c>
      <c r="X197" s="257"/>
    </row>
    <row r="198" spans="1:24" ht="22.5" customHeight="1" x14ac:dyDescent="0.25">
      <c r="A198" s="62">
        <v>180</v>
      </c>
      <c r="B198" s="250"/>
      <c r="C198" s="250"/>
      <c r="D198" s="251"/>
      <c r="E198" s="251"/>
      <c r="F198" s="252"/>
      <c r="G198" s="252"/>
      <c r="H198" s="251"/>
      <c r="I198" s="251"/>
      <c r="J198" s="253">
        <f t="shared" si="4"/>
        <v>0</v>
      </c>
      <c r="K198" s="254"/>
      <c r="L198" s="249"/>
      <c r="M198" s="41"/>
      <c r="N198" s="62">
        <v>180</v>
      </c>
      <c r="O198" s="250"/>
      <c r="P198" s="250"/>
      <c r="Q198" s="251"/>
      <c r="R198" s="251"/>
      <c r="S198" s="252"/>
      <c r="T198" s="252"/>
      <c r="U198" s="251"/>
      <c r="V198" s="251"/>
      <c r="W198" s="253">
        <f t="shared" si="5"/>
        <v>0</v>
      </c>
      <c r="X198" s="254"/>
    </row>
    <row r="199" spans="1:24" ht="22.5" customHeight="1" x14ac:dyDescent="0.25">
      <c r="A199" s="61">
        <v>181</v>
      </c>
      <c r="B199" s="237"/>
      <c r="C199" s="237"/>
      <c r="D199" s="238"/>
      <c r="E199" s="238"/>
      <c r="F199" s="239"/>
      <c r="G199" s="239"/>
      <c r="H199" s="238"/>
      <c r="I199" s="238"/>
      <c r="J199" s="240">
        <f t="shared" si="4"/>
        <v>0</v>
      </c>
      <c r="K199" s="240"/>
      <c r="L199" s="249"/>
      <c r="M199" s="41"/>
      <c r="N199" s="61">
        <v>181</v>
      </c>
      <c r="O199" s="237"/>
      <c r="P199" s="237"/>
      <c r="Q199" s="238"/>
      <c r="R199" s="238"/>
      <c r="S199" s="239"/>
      <c r="T199" s="239"/>
      <c r="U199" s="238"/>
      <c r="V199" s="238"/>
      <c r="W199" s="256">
        <f t="shared" si="5"/>
        <v>0</v>
      </c>
      <c r="X199" s="257"/>
    </row>
    <row r="200" spans="1:24" ht="22.5" customHeight="1" x14ac:dyDescent="0.25">
      <c r="A200" s="62">
        <v>182</v>
      </c>
      <c r="B200" s="250"/>
      <c r="C200" s="250"/>
      <c r="D200" s="251"/>
      <c r="E200" s="251"/>
      <c r="F200" s="252"/>
      <c r="G200" s="252"/>
      <c r="H200" s="251"/>
      <c r="I200" s="251"/>
      <c r="J200" s="253">
        <f t="shared" si="4"/>
        <v>0</v>
      </c>
      <c r="K200" s="254"/>
      <c r="L200" s="249"/>
      <c r="M200" s="41"/>
      <c r="N200" s="62">
        <v>182</v>
      </c>
      <c r="O200" s="250"/>
      <c r="P200" s="250"/>
      <c r="Q200" s="251"/>
      <c r="R200" s="251"/>
      <c r="S200" s="252"/>
      <c r="T200" s="252"/>
      <c r="U200" s="251"/>
      <c r="V200" s="251"/>
      <c r="W200" s="253">
        <f t="shared" si="5"/>
        <v>0</v>
      </c>
      <c r="X200" s="254"/>
    </row>
    <row r="201" spans="1:24" ht="22.5" customHeight="1" x14ac:dyDescent="0.25">
      <c r="A201" s="61">
        <v>183</v>
      </c>
      <c r="B201" s="237"/>
      <c r="C201" s="237"/>
      <c r="D201" s="238"/>
      <c r="E201" s="238"/>
      <c r="F201" s="239"/>
      <c r="G201" s="239"/>
      <c r="H201" s="238"/>
      <c r="I201" s="238"/>
      <c r="J201" s="240">
        <f t="shared" si="4"/>
        <v>0</v>
      </c>
      <c r="K201" s="240"/>
      <c r="L201" s="249"/>
      <c r="M201" s="41"/>
      <c r="N201" s="61">
        <v>183</v>
      </c>
      <c r="O201" s="237"/>
      <c r="P201" s="237"/>
      <c r="Q201" s="238"/>
      <c r="R201" s="238"/>
      <c r="S201" s="239"/>
      <c r="T201" s="239"/>
      <c r="U201" s="238"/>
      <c r="V201" s="238"/>
      <c r="W201" s="256">
        <f t="shared" si="5"/>
        <v>0</v>
      </c>
      <c r="X201" s="257"/>
    </row>
    <row r="202" spans="1:24" ht="22.5" customHeight="1" x14ac:dyDescent="0.25">
      <c r="A202" s="62">
        <v>184</v>
      </c>
      <c r="B202" s="250"/>
      <c r="C202" s="250"/>
      <c r="D202" s="251"/>
      <c r="E202" s="251"/>
      <c r="F202" s="252"/>
      <c r="G202" s="252"/>
      <c r="H202" s="251"/>
      <c r="I202" s="251"/>
      <c r="J202" s="253">
        <f t="shared" si="4"/>
        <v>0</v>
      </c>
      <c r="K202" s="254"/>
      <c r="L202" s="249"/>
      <c r="M202" s="41"/>
      <c r="N202" s="62">
        <v>184</v>
      </c>
      <c r="O202" s="250"/>
      <c r="P202" s="250"/>
      <c r="Q202" s="251"/>
      <c r="R202" s="251"/>
      <c r="S202" s="252"/>
      <c r="T202" s="252"/>
      <c r="U202" s="251"/>
      <c r="V202" s="251"/>
      <c r="W202" s="253">
        <f t="shared" si="5"/>
        <v>0</v>
      </c>
      <c r="X202" s="254"/>
    </row>
    <row r="203" spans="1:24" ht="22.5" customHeight="1" x14ac:dyDescent="0.25">
      <c r="A203" s="61">
        <v>185</v>
      </c>
      <c r="B203" s="237"/>
      <c r="C203" s="237"/>
      <c r="D203" s="238"/>
      <c r="E203" s="238"/>
      <c r="F203" s="239"/>
      <c r="G203" s="239"/>
      <c r="H203" s="238"/>
      <c r="I203" s="238"/>
      <c r="J203" s="240">
        <f t="shared" si="4"/>
        <v>0</v>
      </c>
      <c r="K203" s="240"/>
      <c r="L203" s="249"/>
      <c r="M203" s="41"/>
      <c r="N203" s="61">
        <v>185</v>
      </c>
      <c r="O203" s="237"/>
      <c r="P203" s="237"/>
      <c r="Q203" s="238"/>
      <c r="R203" s="238"/>
      <c r="S203" s="239"/>
      <c r="T203" s="239"/>
      <c r="U203" s="238"/>
      <c r="V203" s="238"/>
      <c r="W203" s="256">
        <f t="shared" si="5"/>
        <v>0</v>
      </c>
      <c r="X203" s="257"/>
    </row>
    <row r="204" spans="1:24" ht="22.5" customHeight="1" x14ac:dyDescent="0.25">
      <c r="A204" s="62">
        <v>186</v>
      </c>
      <c r="B204" s="250"/>
      <c r="C204" s="250"/>
      <c r="D204" s="251"/>
      <c r="E204" s="251"/>
      <c r="F204" s="252"/>
      <c r="G204" s="252"/>
      <c r="H204" s="251"/>
      <c r="I204" s="251"/>
      <c r="J204" s="253">
        <f t="shared" si="4"/>
        <v>0</v>
      </c>
      <c r="K204" s="254"/>
      <c r="L204" s="249"/>
      <c r="M204" s="41"/>
      <c r="N204" s="62">
        <v>186</v>
      </c>
      <c r="O204" s="250"/>
      <c r="P204" s="250"/>
      <c r="Q204" s="251"/>
      <c r="R204" s="251"/>
      <c r="S204" s="252"/>
      <c r="T204" s="252"/>
      <c r="U204" s="251"/>
      <c r="V204" s="251"/>
      <c r="W204" s="253">
        <f t="shared" si="5"/>
        <v>0</v>
      </c>
      <c r="X204" s="254"/>
    </row>
    <row r="205" spans="1:24" ht="22.5" customHeight="1" x14ac:dyDescent="0.25">
      <c r="A205" s="61">
        <v>187</v>
      </c>
      <c r="B205" s="237"/>
      <c r="C205" s="237"/>
      <c r="D205" s="238"/>
      <c r="E205" s="238"/>
      <c r="F205" s="239"/>
      <c r="G205" s="239"/>
      <c r="H205" s="238"/>
      <c r="I205" s="238"/>
      <c r="J205" s="240">
        <f t="shared" si="4"/>
        <v>0</v>
      </c>
      <c r="K205" s="240"/>
      <c r="L205" s="249"/>
      <c r="M205" s="41"/>
      <c r="N205" s="61">
        <v>187</v>
      </c>
      <c r="O205" s="237"/>
      <c r="P205" s="237"/>
      <c r="Q205" s="238"/>
      <c r="R205" s="238"/>
      <c r="S205" s="239"/>
      <c r="T205" s="239"/>
      <c r="U205" s="238"/>
      <c r="V205" s="238"/>
      <c r="W205" s="256">
        <f t="shared" si="5"/>
        <v>0</v>
      </c>
      <c r="X205" s="257"/>
    </row>
    <row r="206" spans="1:24" ht="22.5" customHeight="1" x14ac:dyDescent="0.25">
      <c r="A206" s="62">
        <v>188</v>
      </c>
      <c r="B206" s="250"/>
      <c r="C206" s="250"/>
      <c r="D206" s="251"/>
      <c r="E206" s="251"/>
      <c r="F206" s="252"/>
      <c r="G206" s="252"/>
      <c r="H206" s="251"/>
      <c r="I206" s="251"/>
      <c r="J206" s="253">
        <f t="shared" si="4"/>
        <v>0</v>
      </c>
      <c r="K206" s="254"/>
      <c r="L206" s="249"/>
      <c r="M206" s="41"/>
      <c r="N206" s="62">
        <v>188</v>
      </c>
      <c r="O206" s="250"/>
      <c r="P206" s="250"/>
      <c r="Q206" s="251"/>
      <c r="R206" s="251"/>
      <c r="S206" s="252"/>
      <c r="T206" s="252"/>
      <c r="U206" s="251"/>
      <c r="V206" s="251"/>
      <c r="W206" s="253">
        <f t="shared" si="5"/>
        <v>0</v>
      </c>
      <c r="X206" s="254"/>
    </row>
    <row r="207" spans="1:24" ht="22.5" customHeight="1" x14ac:dyDescent="0.25">
      <c r="A207" s="61">
        <v>189</v>
      </c>
      <c r="B207" s="237"/>
      <c r="C207" s="237"/>
      <c r="D207" s="238"/>
      <c r="E207" s="238"/>
      <c r="F207" s="239"/>
      <c r="G207" s="239"/>
      <c r="H207" s="238"/>
      <c r="I207" s="238"/>
      <c r="J207" s="240">
        <f t="shared" si="4"/>
        <v>0</v>
      </c>
      <c r="K207" s="240"/>
      <c r="L207" s="249"/>
      <c r="M207" s="41"/>
      <c r="N207" s="61">
        <v>189</v>
      </c>
      <c r="O207" s="237"/>
      <c r="P207" s="237"/>
      <c r="Q207" s="238"/>
      <c r="R207" s="238"/>
      <c r="S207" s="239"/>
      <c r="T207" s="239"/>
      <c r="U207" s="238"/>
      <c r="V207" s="238"/>
      <c r="W207" s="256">
        <f t="shared" si="5"/>
        <v>0</v>
      </c>
      <c r="X207" s="257"/>
    </row>
    <row r="208" spans="1:24" ht="22.5" customHeight="1" x14ac:dyDescent="0.25">
      <c r="A208" s="62">
        <v>190</v>
      </c>
      <c r="B208" s="250"/>
      <c r="C208" s="250"/>
      <c r="D208" s="251"/>
      <c r="E208" s="251"/>
      <c r="F208" s="252"/>
      <c r="G208" s="252"/>
      <c r="H208" s="251"/>
      <c r="I208" s="251"/>
      <c r="J208" s="253">
        <f t="shared" si="4"/>
        <v>0</v>
      </c>
      <c r="K208" s="254"/>
      <c r="L208" s="249"/>
      <c r="M208" s="41"/>
      <c r="N208" s="62">
        <v>190</v>
      </c>
      <c r="O208" s="250"/>
      <c r="P208" s="250"/>
      <c r="Q208" s="251"/>
      <c r="R208" s="251"/>
      <c r="S208" s="252"/>
      <c r="T208" s="252"/>
      <c r="U208" s="251"/>
      <c r="V208" s="251"/>
      <c r="W208" s="253">
        <f t="shared" si="5"/>
        <v>0</v>
      </c>
      <c r="X208" s="254"/>
    </row>
    <row r="209" spans="1:24" ht="22.5" customHeight="1" x14ac:dyDescent="0.25">
      <c r="A209" s="61">
        <v>191</v>
      </c>
      <c r="B209" s="237"/>
      <c r="C209" s="237"/>
      <c r="D209" s="238"/>
      <c r="E209" s="238"/>
      <c r="F209" s="239"/>
      <c r="G209" s="239"/>
      <c r="H209" s="238"/>
      <c r="I209" s="238"/>
      <c r="J209" s="240">
        <f t="shared" si="4"/>
        <v>0</v>
      </c>
      <c r="K209" s="240"/>
      <c r="L209" s="249"/>
      <c r="M209" s="41"/>
      <c r="N209" s="61">
        <v>191</v>
      </c>
      <c r="O209" s="237"/>
      <c r="P209" s="237"/>
      <c r="Q209" s="238"/>
      <c r="R209" s="238"/>
      <c r="S209" s="239"/>
      <c r="T209" s="239"/>
      <c r="U209" s="238"/>
      <c r="V209" s="238"/>
      <c r="W209" s="256">
        <f t="shared" si="5"/>
        <v>0</v>
      </c>
      <c r="X209" s="257"/>
    </row>
    <row r="210" spans="1:24" ht="22.5" customHeight="1" x14ac:dyDescent="0.25">
      <c r="A210" s="62">
        <v>192</v>
      </c>
      <c r="B210" s="250"/>
      <c r="C210" s="250"/>
      <c r="D210" s="251"/>
      <c r="E210" s="251"/>
      <c r="F210" s="252"/>
      <c r="G210" s="252"/>
      <c r="H210" s="251"/>
      <c r="I210" s="251"/>
      <c r="J210" s="253">
        <f t="shared" si="4"/>
        <v>0</v>
      </c>
      <c r="K210" s="254"/>
      <c r="L210" s="249"/>
      <c r="M210" s="41"/>
      <c r="N210" s="62">
        <v>192</v>
      </c>
      <c r="O210" s="250"/>
      <c r="P210" s="250"/>
      <c r="Q210" s="251"/>
      <c r="R210" s="251"/>
      <c r="S210" s="252"/>
      <c r="T210" s="252"/>
      <c r="U210" s="251"/>
      <c r="V210" s="251"/>
      <c r="W210" s="253">
        <f t="shared" si="5"/>
        <v>0</v>
      </c>
      <c r="X210" s="254"/>
    </row>
    <row r="211" spans="1:24" ht="22.5" customHeight="1" x14ac:dyDescent="0.25">
      <c r="A211" s="61">
        <v>193</v>
      </c>
      <c r="B211" s="237"/>
      <c r="C211" s="237"/>
      <c r="D211" s="238"/>
      <c r="E211" s="238"/>
      <c r="F211" s="239"/>
      <c r="G211" s="239"/>
      <c r="H211" s="238"/>
      <c r="I211" s="238"/>
      <c r="J211" s="240">
        <f t="shared" si="4"/>
        <v>0</v>
      </c>
      <c r="K211" s="240"/>
      <c r="L211" s="249"/>
      <c r="M211" s="41"/>
      <c r="N211" s="61">
        <v>193</v>
      </c>
      <c r="O211" s="237"/>
      <c r="P211" s="237"/>
      <c r="Q211" s="238"/>
      <c r="R211" s="238"/>
      <c r="S211" s="239"/>
      <c r="T211" s="239"/>
      <c r="U211" s="238"/>
      <c r="V211" s="238"/>
      <c r="W211" s="256">
        <f t="shared" si="5"/>
        <v>0</v>
      </c>
      <c r="X211" s="257"/>
    </row>
    <row r="212" spans="1:24" ht="22.5" customHeight="1" x14ac:dyDescent="0.25">
      <c r="A212" s="62">
        <v>194</v>
      </c>
      <c r="B212" s="250"/>
      <c r="C212" s="250"/>
      <c r="D212" s="251"/>
      <c r="E212" s="251"/>
      <c r="F212" s="252"/>
      <c r="G212" s="252"/>
      <c r="H212" s="251"/>
      <c r="I212" s="251"/>
      <c r="J212" s="253">
        <f t="shared" ref="J212:J218" si="6">D212*F212+H212</f>
        <v>0</v>
      </c>
      <c r="K212" s="254"/>
      <c r="L212" s="249"/>
      <c r="M212" s="41"/>
      <c r="N212" s="62">
        <v>194</v>
      </c>
      <c r="O212" s="250"/>
      <c r="P212" s="250"/>
      <c r="Q212" s="251"/>
      <c r="R212" s="251"/>
      <c r="S212" s="252"/>
      <c r="T212" s="252"/>
      <c r="U212" s="251"/>
      <c r="V212" s="251"/>
      <c r="W212" s="253">
        <f t="shared" ref="W212:W218" si="7">Q212*S212-U212</f>
        <v>0</v>
      </c>
      <c r="X212" s="254"/>
    </row>
    <row r="213" spans="1:24" ht="22.5" customHeight="1" x14ac:dyDescent="0.25">
      <c r="A213" s="61">
        <v>195</v>
      </c>
      <c r="B213" s="237"/>
      <c r="C213" s="237"/>
      <c r="D213" s="238"/>
      <c r="E213" s="238"/>
      <c r="F213" s="239"/>
      <c r="G213" s="239"/>
      <c r="H213" s="238"/>
      <c r="I213" s="238"/>
      <c r="J213" s="240">
        <f t="shared" si="6"/>
        <v>0</v>
      </c>
      <c r="K213" s="240"/>
      <c r="L213" s="249"/>
      <c r="M213" s="41"/>
      <c r="N213" s="61">
        <v>195</v>
      </c>
      <c r="O213" s="237"/>
      <c r="P213" s="237"/>
      <c r="Q213" s="238"/>
      <c r="R213" s="238"/>
      <c r="S213" s="239"/>
      <c r="T213" s="239"/>
      <c r="U213" s="238"/>
      <c r="V213" s="238"/>
      <c r="W213" s="256">
        <f t="shared" si="7"/>
        <v>0</v>
      </c>
      <c r="X213" s="257"/>
    </row>
    <row r="214" spans="1:24" ht="22.5" customHeight="1" x14ac:dyDescent="0.25">
      <c r="A214" s="62">
        <v>196</v>
      </c>
      <c r="B214" s="250"/>
      <c r="C214" s="250"/>
      <c r="D214" s="251"/>
      <c r="E214" s="251"/>
      <c r="F214" s="252"/>
      <c r="G214" s="252"/>
      <c r="H214" s="251"/>
      <c r="I214" s="251"/>
      <c r="J214" s="253">
        <f t="shared" si="6"/>
        <v>0</v>
      </c>
      <c r="K214" s="254"/>
      <c r="L214" s="249"/>
      <c r="M214" s="41"/>
      <c r="N214" s="62">
        <v>196</v>
      </c>
      <c r="O214" s="250"/>
      <c r="P214" s="250"/>
      <c r="Q214" s="251"/>
      <c r="R214" s="251"/>
      <c r="S214" s="252"/>
      <c r="T214" s="252"/>
      <c r="U214" s="251"/>
      <c r="V214" s="251"/>
      <c r="W214" s="253">
        <f t="shared" si="7"/>
        <v>0</v>
      </c>
      <c r="X214" s="254"/>
    </row>
    <row r="215" spans="1:24" ht="22.5" customHeight="1" x14ac:dyDescent="0.25">
      <c r="A215" s="61">
        <v>197</v>
      </c>
      <c r="B215" s="237"/>
      <c r="C215" s="237"/>
      <c r="D215" s="238"/>
      <c r="E215" s="238"/>
      <c r="F215" s="239"/>
      <c r="G215" s="239"/>
      <c r="H215" s="238"/>
      <c r="I215" s="238"/>
      <c r="J215" s="240">
        <f t="shared" si="6"/>
        <v>0</v>
      </c>
      <c r="K215" s="240"/>
      <c r="L215" s="249"/>
      <c r="M215" s="41"/>
      <c r="N215" s="61">
        <v>197</v>
      </c>
      <c r="O215" s="237"/>
      <c r="P215" s="237"/>
      <c r="Q215" s="238"/>
      <c r="R215" s="238"/>
      <c r="S215" s="239"/>
      <c r="T215" s="239"/>
      <c r="U215" s="238"/>
      <c r="V215" s="238"/>
      <c r="W215" s="256">
        <f t="shared" si="7"/>
        <v>0</v>
      </c>
      <c r="X215" s="257"/>
    </row>
    <row r="216" spans="1:24" ht="22.5" customHeight="1" x14ac:dyDescent="0.25">
      <c r="A216" s="62">
        <v>198</v>
      </c>
      <c r="B216" s="250"/>
      <c r="C216" s="250"/>
      <c r="D216" s="251"/>
      <c r="E216" s="251"/>
      <c r="F216" s="252"/>
      <c r="G216" s="252"/>
      <c r="H216" s="251"/>
      <c r="I216" s="251"/>
      <c r="J216" s="253">
        <f t="shared" si="6"/>
        <v>0</v>
      </c>
      <c r="K216" s="254"/>
      <c r="L216" s="249"/>
      <c r="M216" s="41"/>
      <c r="N216" s="62">
        <v>198</v>
      </c>
      <c r="O216" s="250"/>
      <c r="P216" s="250"/>
      <c r="Q216" s="251"/>
      <c r="R216" s="251"/>
      <c r="S216" s="252"/>
      <c r="T216" s="252"/>
      <c r="U216" s="251"/>
      <c r="V216" s="251"/>
      <c r="W216" s="253">
        <f t="shared" si="7"/>
        <v>0</v>
      </c>
      <c r="X216" s="254"/>
    </row>
    <row r="217" spans="1:24" ht="22.5" customHeight="1" x14ac:dyDescent="0.25">
      <c r="A217" s="61">
        <v>199</v>
      </c>
      <c r="B217" s="237"/>
      <c r="C217" s="237"/>
      <c r="D217" s="238"/>
      <c r="E217" s="238"/>
      <c r="F217" s="239"/>
      <c r="G217" s="239"/>
      <c r="H217" s="238"/>
      <c r="I217" s="238"/>
      <c r="J217" s="240">
        <f t="shared" si="6"/>
        <v>0</v>
      </c>
      <c r="K217" s="240"/>
      <c r="L217" s="249"/>
      <c r="M217" s="41"/>
      <c r="N217" s="61">
        <v>199</v>
      </c>
      <c r="O217" s="237"/>
      <c r="P217" s="237"/>
      <c r="Q217" s="238"/>
      <c r="R217" s="238"/>
      <c r="S217" s="239"/>
      <c r="T217" s="239"/>
      <c r="U217" s="238"/>
      <c r="V217" s="238"/>
      <c r="W217" s="256">
        <f t="shared" si="7"/>
        <v>0</v>
      </c>
      <c r="X217" s="257"/>
    </row>
    <row r="218" spans="1:24" ht="22.5" customHeight="1" x14ac:dyDescent="0.25">
      <c r="A218" s="62">
        <v>200</v>
      </c>
      <c r="B218" s="250"/>
      <c r="C218" s="250"/>
      <c r="D218" s="251"/>
      <c r="E218" s="251"/>
      <c r="F218" s="252"/>
      <c r="G218" s="252"/>
      <c r="H218" s="251"/>
      <c r="I218" s="251"/>
      <c r="J218" s="253">
        <f t="shared" si="6"/>
        <v>0</v>
      </c>
      <c r="K218" s="254"/>
      <c r="L218" s="249"/>
      <c r="M218" s="41"/>
      <c r="N218" s="62">
        <v>200</v>
      </c>
      <c r="O218" s="250"/>
      <c r="P218" s="250"/>
      <c r="Q218" s="251"/>
      <c r="R218" s="251"/>
      <c r="S218" s="252"/>
      <c r="T218" s="252"/>
      <c r="U218" s="251"/>
      <c r="V218" s="251"/>
      <c r="W218" s="253">
        <f t="shared" si="7"/>
        <v>0</v>
      </c>
      <c r="X218" s="254"/>
    </row>
    <row r="219" spans="1:24" ht="22.5" customHeight="1" x14ac:dyDescent="0.25">
      <c r="B219" s="255"/>
      <c r="C219" s="255"/>
      <c r="D219" s="255"/>
      <c r="E219" s="255"/>
      <c r="F219" s="255"/>
      <c r="G219" s="255"/>
      <c r="H219" s="255"/>
      <c r="I219" s="255"/>
      <c r="J219" s="255"/>
      <c r="K219" s="255"/>
      <c r="M219" s="41"/>
      <c r="N219" s="41"/>
      <c r="O219" s="41"/>
      <c r="P219" s="41"/>
      <c r="Q219" s="41"/>
      <c r="R219" s="41"/>
      <c r="S219" s="41"/>
      <c r="T219" s="41"/>
      <c r="U219" s="41"/>
      <c r="V219" s="41"/>
      <c r="W219" s="41"/>
      <c r="X219" s="41"/>
    </row>
    <row r="220" spans="1:24" ht="22.5" customHeight="1" x14ac:dyDescent="0.25">
      <c r="B220" s="255"/>
      <c r="C220" s="255"/>
      <c r="D220" s="255"/>
      <c r="E220" s="255"/>
      <c r="F220" s="255"/>
      <c r="G220" s="255"/>
      <c r="H220" s="255"/>
      <c r="I220" s="255"/>
      <c r="J220" s="255"/>
      <c r="K220" s="255"/>
      <c r="M220" s="41"/>
      <c r="N220" s="41"/>
      <c r="O220" s="41"/>
      <c r="P220" s="41"/>
      <c r="Q220" s="41"/>
      <c r="R220" s="41"/>
      <c r="S220" s="41"/>
      <c r="T220" s="41"/>
      <c r="U220" s="41"/>
      <c r="V220" s="41"/>
      <c r="W220" s="41"/>
      <c r="X220" s="41"/>
    </row>
    <row r="221" spans="1:24" ht="22.5" customHeight="1" x14ac:dyDescent="0.25">
      <c r="B221" s="255"/>
      <c r="C221" s="255"/>
      <c r="D221" s="255"/>
      <c r="E221" s="255"/>
      <c r="F221" s="255"/>
      <c r="G221" s="255"/>
      <c r="H221" s="255"/>
      <c r="I221" s="255"/>
      <c r="J221" s="255"/>
      <c r="K221" s="255"/>
      <c r="M221" s="41"/>
      <c r="N221" s="41"/>
      <c r="O221" s="41"/>
      <c r="P221" s="41"/>
      <c r="Q221" s="41"/>
      <c r="R221" s="41"/>
      <c r="S221" s="41"/>
      <c r="T221" s="41"/>
      <c r="U221" s="41"/>
      <c r="V221" s="41"/>
      <c r="W221" s="41"/>
      <c r="X221" s="41"/>
    </row>
    <row r="222" spans="1:24" ht="22.5" customHeight="1" x14ac:dyDescent="0.25">
      <c r="B222" s="255"/>
      <c r="C222" s="255"/>
      <c r="D222" s="255"/>
      <c r="E222" s="255"/>
      <c r="F222" s="255"/>
      <c r="G222" s="255"/>
      <c r="H222" s="255"/>
      <c r="I222" s="255"/>
      <c r="J222" s="255"/>
      <c r="K222" s="255"/>
      <c r="M222" s="41"/>
      <c r="N222" s="41"/>
      <c r="O222" s="41"/>
      <c r="P222" s="41"/>
      <c r="Q222" s="41"/>
      <c r="R222" s="41"/>
      <c r="S222" s="41"/>
      <c r="T222" s="41"/>
      <c r="U222" s="41"/>
      <c r="V222" s="41"/>
      <c r="W222" s="41"/>
      <c r="X222" s="41"/>
    </row>
    <row r="223" spans="1:24" ht="22.5" customHeight="1" x14ac:dyDescent="0.25">
      <c r="B223" s="255"/>
      <c r="C223" s="255"/>
      <c r="D223" s="255"/>
      <c r="E223" s="255"/>
      <c r="F223" s="255"/>
      <c r="G223" s="255"/>
      <c r="H223" s="255"/>
      <c r="I223" s="255"/>
      <c r="J223" s="255"/>
      <c r="K223" s="255"/>
      <c r="M223" s="41"/>
      <c r="N223" s="41"/>
      <c r="O223" s="41"/>
      <c r="P223" s="41"/>
      <c r="Q223" s="41"/>
      <c r="R223" s="41"/>
      <c r="S223" s="41"/>
      <c r="T223" s="41"/>
      <c r="U223" s="41"/>
      <c r="V223" s="41"/>
      <c r="W223" s="41"/>
      <c r="X223" s="41"/>
    </row>
    <row r="224" spans="1:24" ht="22.5" customHeight="1" x14ac:dyDescent="0.25">
      <c r="B224" s="255"/>
      <c r="C224" s="255"/>
      <c r="D224" s="255"/>
      <c r="E224" s="255"/>
      <c r="F224" s="255"/>
      <c r="G224" s="255"/>
      <c r="H224" s="255"/>
      <c r="I224" s="255"/>
      <c r="J224" s="255"/>
      <c r="K224" s="255"/>
      <c r="M224" s="41"/>
      <c r="N224" s="41"/>
      <c r="O224" s="41"/>
      <c r="P224" s="41"/>
      <c r="Q224" s="41"/>
      <c r="R224" s="41"/>
      <c r="S224" s="41"/>
      <c r="T224" s="41"/>
      <c r="U224" s="41"/>
      <c r="V224" s="41"/>
      <c r="W224" s="41"/>
      <c r="X224" s="41"/>
    </row>
    <row r="225" spans="2:24" ht="22.5" customHeight="1" x14ac:dyDescent="0.25">
      <c r="B225" s="255"/>
      <c r="C225" s="255"/>
      <c r="D225" s="255"/>
      <c r="E225" s="255"/>
      <c r="F225" s="255"/>
      <c r="G225" s="255"/>
      <c r="H225" s="255"/>
      <c r="I225" s="255"/>
      <c r="J225" s="255"/>
      <c r="K225" s="255"/>
      <c r="M225" s="41"/>
      <c r="N225" s="41"/>
      <c r="O225" s="41"/>
      <c r="P225" s="41"/>
      <c r="Q225" s="41"/>
      <c r="R225" s="41"/>
      <c r="S225" s="41"/>
      <c r="T225" s="41"/>
      <c r="U225" s="41"/>
      <c r="V225" s="41"/>
      <c r="W225" s="41"/>
      <c r="X225" s="41"/>
    </row>
    <row r="226" spans="2:24" ht="22.5" customHeight="1" x14ac:dyDescent="0.25">
      <c r="B226" s="255"/>
      <c r="C226" s="255"/>
      <c r="D226" s="255"/>
      <c r="E226" s="255"/>
      <c r="F226" s="255"/>
      <c r="G226" s="255"/>
      <c r="H226" s="255"/>
      <c r="I226" s="255"/>
      <c r="J226" s="255"/>
      <c r="K226" s="255"/>
      <c r="M226" s="41"/>
      <c r="N226" s="41"/>
      <c r="O226" s="41"/>
      <c r="P226" s="41"/>
      <c r="Q226" s="41"/>
      <c r="R226" s="41"/>
      <c r="S226" s="41"/>
      <c r="T226" s="41"/>
      <c r="U226" s="41"/>
      <c r="V226" s="41"/>
      <c r="W226" s="41"/>
      <c r="X226" s="41"/>
    </row>
    <row r="227" spans="2:24" ht="22.5" customHeight="1" x14ac:dyDescent="0.25">
      <c r="B227" s="255"/>
      <c r="C227" s="255"/>
      <c r="D227" s="255"/>
      <c r="E227" s="255"/>
      <c r="F227" s="255"/>
      <c r="G227" s="255"/>
      <c r="H227" s="255"/>
      <c r="I227" s="255"/>
      <c r="J227" s="255"/>
      <c r="K227" s="255"/>
      <c r="M227" s="41"/>
      <c r="N227" s="41"/>
      <c r="O227" s="41"/>
      <c r="P227" s="41"/>
      <c r="Q227" s="41"/>
      <c r="R227" s="41"/>
      <c r="S227" s="41"/>
      <c r="T227" s="41"/>
      <c r="U227" s="41"/>
      <c r="V227" s="41"/>
      <c r="W227" s="41"/>
      <c r="X227" s="41"/>
    </row>
    <row r="228" spans="2:24" ht="22.5" customHeight="1" x14ac:dyDescent="0.25">
      <c r="B228" s="255"/>
      <c r="C228" s="255"/>
      <c r="D228" s="255"/>
      <c r="E228" s="255"/>
      <c r="F228" s="255"/>
      <c r="G228" s="255"/>
      <c r="H228" s="255"/>
      <c r="I228" s="255"/>
      <c r="J228" s="255"/>
      <c r="K228" s="255"/>
      <c r="M228" s="41"/>
      <c r="N228" s="41"/>
      <c r="O228" s="41"/>
      <c r="P228" s="41"/>
      <c r="Q228" s="41"/>
      <c r="R228" s="41"/>
      <c r="S228" s="41"/>
      <c r="T228" s="41"/>
      <c r="U228" s="41"/>
      <c r="V228" s="41"/>
      <c r="W228" s="41"/>
      <c r="X228" s="41"/>
    </row>
    <row r="229" spans="2:24" ht="22.5" customHeight="1" x14ac:dyDescent="0.25">
      <c r="B229" s="255"/>
      <c r="C229" s="255"/>
      <c r="D229" s="255"/>
      <c r="E229" s="255"/>
      <c r="F229" s="255"/>
      <c r="G229" s="255"/>
      <c r="H229" s="255"/>
      <c r="I229" s="255"/>
      <c r="J229" s="255"/>
      <c r="K229" s="255"/>
      <c r="M229" s="41"/>
      <c r="N229" s="41"/>
      <c r="O229" s="41"/>
      <c r="P229" s="41"/>
      <c r="Q229" s="41"/>
      <c r="R229" s="41"/>
      <c r="S229" s="41"/>
      <c r="T229" s="41"/>
      <c r="U229" s="41"/>
      <c r="V229" s="41"/>
      <c r="W229" s="41"/>
      <c r="X229" s="41"/>
    </row>
    <row r="230" spans="2:24" ht="22.5" customHeight="1" x14ac:dyDescent="0.25">
      <c r="B230" s="255"/>
      <c r="C230" s="255"/>
      <c r="D230" s="255"/>
      <c r="E230" s="255"/>
      <c r="F230" s="255"/>
      <c r="G230" s="255"/>
      <c r="H230" s="255"/>
      <c r="I230" s="255"/>
      <c r="J230" s="255"/>
      <c r="K230" s="255"/>
      <c r="M230" s="41"/>
      <c r="N230" s="41"/>
      <c r="O230" s="41"/>
      <c r="P230" s="41"/>
      <c r="Q230" s="41"/>
      <c r="R230" s="41"/>
      <c r="S230" s="41"/>
      <c r="T230" s="41"/>
      <c r="U230" s="41"/>
      <c r="V230" s="41"/>
      <c r="W230" s="41"/>
      <c r="X230" s="41"/>
    </row>
    <row r="231" spans="2:24" ht="22.5" customHeight="1" x14ac:dyDescent="0.25">
      <c r="B231" s="255"/>
      <c r="C231" s="255"/>
      <c r="D231" s="255"/>
      <c r="E231" s="255"/>
      <c r="F231" s="255"/>
      <c r="G231" s="255"/>
      <c r="H231" s="255"/>
      <c r="I231" s="255"/>
      <c r="J231" s="255"/>
      <c r="K231" s="255"/>
      <c r="M231" s="41"/>
      <c r="N231" s="41"/>
      <c r="O231" s="41"/>
      <c r="P231" s="41"/>
      <c r="Q231" s="41"/>
      <c r="R231" s="41"/>
      <c r="S231" s="41"/>
      <c r="T231" s="41"/>
      <c r="U231" s="41"/>
      <c r="V231" s="41"/>
      <c r="W231" s="41"/>
      <c r="X231" s="41"/>
    </row>
    <row r="232" spans="2:24" ht="22.5" customHeight="1" x14ac:dyDescent="0.25">
      <c r="B232" s="255"/>
      <c r="C232" s="255"/>
      <c r="D232" s="255"/>
      <c r="E232" s="255"/>
      <c r="F232" s="255"/>
      <c r="G232" s="255"/>
      <c r="H232" s="255"/>
      <c r="I232" s="255"/>
      <c r="J232" s="255"/>
      <c r="K232" s="255"/>
      <c r="M232" s="41"/>
      <c r="N232" s="41"/>
      <c r="O232" s="41"/>
      <c r="P232" s="41"/>
      <c r="Q232" s="41"/>
      <c r="R232" s="41"/>
      <c r="S232" s="41"/>
      <c r="T232" s="41"/>
      <c r="U232" s="41"/>
      <c r="V232" s="41"/>
      <c r="W232" s="41"/>
      <c r="X232" s="41"/>
    </row>
    <row r="233" spans="2:24" ht="22.5" customHeight="1" x14ac:dyDescent="0.25">
      <c r="B233" s="255"/>
      <c r="C233" s="255"/>
      <c r="D233" s="255"/>
      <c r="E233" s="255"/>
      <c r="F233" s="255"/>
      <c r="G233" s="255"/>
      <c r="H233" s="255"/>
      <c r="I233" s="255"/>
      <c r="J233" s="255"/>
      <c r="K233" s="255"/>
      <c r="M233" s="41"/>
      <c r="N233" s="41"/>
      <c r="O233" s="41"/>
      <c r="P233" s="41"/>
      <c r="Q233" s="41"/>
      <c r="R233" s="41"/>
      <c r="S233" s="41"/>
      <c r="T233" s="41"/>
      <c r="U233" s="41"/>
      <c r="V233" s="41"/>
      <c r="W233" s="41"/>
      <c r="X233" s="41"/>
    </row>
    <row r="234" spans="2:24" ht="22.5" customHeight="1" x14ac:dyDescent="0.25">
      <c r="B234" s="255"/>
      <c r="C234" s="255"/>
      <c r="D234" s="255"/>
      <c r="E234" s="255"/>
      <c r="F234" s="255"/>
      <c r="G234" s="255"/>
      <c r="H234" s="255"/>
      <c r="I234" s="255"/>
      <c r="J234" s="255"/>
      <c r="K234" s="255"/>
      <c r="M234" s="41"/>
      <c r="N234" s="41"/>
      <c r="O234" s="41"/>
      <c r="P234" s="41"/>
      <c r="Q234" s="41"/>
      <c r="R234" s="41"/>
      <c r="S234" s="41"/>
      <c r="T234" s="41"/>
      <c r="U234" s="41"/>
      <c r="V234" s="41"/>
      <c r="W234" s="41"/>
      <c r="X234" s="41"/>
    </row>
    <row r="235" spans="2:24" ht="22.5" customHeight="1" x14ac:dyDescent="0.25">
      <c r="B235" s="255"/>
      <c r="C235" s="255"/>
      <c r="D235" s="255"/>
      <c r="E235" s="255"/>
      <c r="F235" s="255"/>
      <c r="G235" s="255"/>
      <c r="H235" s="255"/>
      <c r="I235" s="255"/>
      <c r="J235" s="255"/>
      <c r="K235" s="255"/>
      <c r="M235" s="41"/>
      <c r="N235" s="41"/>
      <c r="O235" s="41"/>
      <c r="P235" s="41"/>
      <c r="Q235" s="41"/>
      <c r="R235" s="41"/>
      <c r="S235" s="41"/>
      <c r="T235" s="41"/>
      <c r="U235" s="41"/>
      <c r="V235" s="41"/>
      <c r="W235" s="41"/>
      <c r="X235" s="41"/>
    </row>
    <row r="236" spans="2:24" ht="22.5" customHeight="1" x14ac:dyDescent="0.25">
      <c r="B236" s="255"/>
      <c r="C236" s="255"/>
      <c r="D236" s="255"/>
      <c r="E236" s="255"/>
      <c r="F236" s="255"/>
      <c r="G236" s="255"/>
      <c r="H236" s="255"/>
      <c r="I236" s="255"/>
      <c r="J236" s="255"/>
      <c r="K236" s="255"/>
      <c r="M236" s="41"/>
      <c r="N236" s="41"/>
      <c r="O236" s="41"/>
      <c r="P236" s="41"/>
      <c r="Q236" s="41"/>
      <c r="R236" s="41"/>
      <c r="S236" s="41"/>
      <c r="T236" s="41"/>
      <c r="U236" s="41"/>
      <c r="V236" s="41"/>
      <c r="W236" s="41"/>
      <c r="X236" s="41"/>
    </row>
    <row r="237" spans="2:24" ht="22.5" customHeight="1" x14ac:dyDescent="0.25">
      <c r="B237" s="255"/>
      <c r="C237" s="255"/>
      <c r="D237" s="255"/>
      <c r="E237" s="255"/>
      <c r="F237" s="255"/>
      <c r="G237" s="255"/>
      <c r="H237" s="255"/>
      <c r="I237" s="255"/>
      <c r="J237" s="255"/>
      <c r="K237" s="255"/>
      <c r="M237" s="41"/>
      <c r="N237" s="41"/>
      <c r="O237" s="41"/>
      <c r="P237" s="41"/>
      <c r="Q237" s="41"/>
      <c r="R237" s="41"/>
      <c r="S237" s="41"/>
      <c r="T237" s="41"/>
      <c r="U237" s="41"/>
      <c r="V237" s="41"/>
      <c r="W237" s="41"/>
      <c r="X237" s="41"/>
    </row>
    <row r="238" spans="2:24" ht="22.5" customHeight="1" x14ac:dyDescent="0.25">
      <c r="B238" s="255"/>
      <c r="C238" s="255"/>
      <c r="D238" s="255"/>
      <c r="E238" s="255"/>
      <c r="F238" s="255"/>
      <c r="G238" s="255"/>
      <c r="H238" s="255"/>
      <c r="I238" s="255"/>
      <c r="J238" s="255"/>
      <c r="K238" s="255"/>
      <c r="M238" s="41"/>
      <c r="N238" s="41"/>
      <c r="O238" s="41"/>
      <c r="P238" s="41"/>
      <c r="Q238" s="41"/>
      <c r="R238" s="41"/>
      <c r="S238" s="41"/>
      <c r="T238" s="41"/>
      <c r="U238" s="41"/>
      <c r="V238" s="41"/>
      <c r="W238" s="41"/>
      <c r="X238" s="41"/>
    </row>
    <row r="239" spans="2:24" ht="22.5" customHeight="1" x14ac:dyDescent="0.25">
      <c r="B239" s="255"/>
      <c r="C239" s="255"/>
      <c r="D239" s="255"/>
      <c r="E239" s="255"/>
      <c r="F239" s="255"/>
      <c r="G239" s="255"/>
      <c r="H239" s="255"/>
      <c r="I239" s="255"/>
      <c r="J239" s="255"/>
      <c r="K239" s="255"/>
      <c r="M239" s="41"/>
      <c r="N239" s="41"/>
      <c r="O239" s="41"/>
      <c r="P239" s="41"/>
      <c r="Q239" s="41"/>
      <c r="R239" s="41"/>
      <c r="S239" s="41"/>
      <c r="T239" s="41"/>
      <c r="U239" s="41"/>
      <c r="V239" s="41"/>
      <c r="W239" s="41"/>
      <c r="X239" s="41"/>
    </row>
    <row r="240" spans="2:24" ht="22.5" customHeight="1" x14ac:dyDescent="0.25">
      <c r="M240" s="41"/>
      <c r="N240" s="41"/>
      <c r="O240" s="41"/>
      <c r="P240" s="41"/>
      <c r="Q240" s="41"/>
      <c r="R240" s="41"/>
      <c r="S240" s="41"/>
      <c r="T240" s="41"/>
      <c r="U240" s="41"/>
      <c r="V240" s="41"/>
      <c r="W240" s="41"/>
      <c r="X240" s="41"/>
    </row>
    <row r="241" spans="13:24" ht="22.5" customHeight="1" x14ac:dyDescent="0.25">
      <c r="M241" s="41"/>
      <c r="N241" s="41"/>
      <c r="O241" s="41"/>
      <c r="P241" s="41"/>
      <c r="Q241" s="41"/>
      <c r="R241" s="41"/>
      <c r="S241" s="41"/>
      <c r="T241" s="41"/>
      <c r="U241" s="41"/>
      <c r="V241" s="41"/>
      <c r="W241" s="41"/>
      <c r="X241" s="41"/>
    </row>
    <row r="242" spans="13:24" ht="22.5" customHeight="1" x14ac:dyDescent="0.25">
      <c r="M242" s="41"/>
      <c r="N242" s="41"/>
      <c r="O242" s="41"/>
      <c r="P242" s="41"/>
      <c r="Q242" s="41"/>
      <c r="R242" s="41"/>
      <c r="S242" s="41"/>
      <c r="T242" s="41"/>
      <c r="U242" s="41"/>
      <c r="V242" s="41"/>
      <c r="W242" s="41"/>
      <c r="X242" s="41"/>
    </row>
    <row r="243" spans="13:24" ht="22.5" customHeight="1" x14ac:dyDescent="0.25">
      <c r="M243" s="41"/>
      <c r="N243" s="41"/>
      <c r="O243" s="41"/>
      <c r="P243" s="41"/>
      <c r="Q243" s="41"/>
      <c r="R243" s="41"/>
      <c r="S243" s="41"/>
      <c r="T243" s="41"/>
      <c r="U243" s="41"/>
      <c r="V243" s="41"/>
      <c r="W243" s="41"/>
      <c r="X243" s="41"/>
    </row>
    <row r="244" spans="13:24" ht="22.5" customHeight="1" x14ac:dyDescent="0.25">
      <c r="M244" s="41"/>
      <c r="N244" s="41"/>
      <c r="O244" s="41"/>
      <c r="P244" s="41"/>
      <c r="Q244" s="41"/>
      <c r="R244" s="41"/>
      <c r="S244" s="41"/>
      <c r="T244" s="41"/>
      <c r="U244" s="41"/>
      <c r="V244" s="41"/>
      <c r="W244" s="41"/>
      <c r="X244" s="41"/>
    </row>
    <row r="245" spans="13:24" ht="22.5" customHeight="1" x14ac:dyDescent="0.25">
      <c r="M245" s="41"/>
      <c r="N245" s="41"/>
      <c r="O245" s="41"/>
      <c r="P245" s="41"/>
      <c r="Q245" s="41"/>
      <c r="R245" s="41"/>
      <c r="S245" s="41"/>
      <c r="T245" s="41"/>
      <c r="U245" s="41"/>
      <c r="V245" s="41"/>
      <c r="W245" s="41"/>
      <c r="X245" s="41"/>
    </row>
    <row r="246" spans="13:24" ht="22.5" customHeight="1" x14ac:dyDescent="0.25">
      <c r="M246" s="41"/>
      <c r="N246" s="41"/>
      <c r="O246" s="41"/>
      <c r="P246" s="41"/>
      <c r="Q246" s="41"/>
      <c r="R246" s="41"/>
      <c r="S246" s="41"/>
      <c r="T246" s="41"/>
      <c r="U246" s="41"/>
      <c r="V246" s="41"/>
      <c r="W246" s="41"/>
      <c r="X246" s="41"/>
    </row>
    <row r="247" spans="13:24" ht="22.5" customHeight="1" x14ac:dyDescent="0.25">
      <c r="M247" s="41"/>
      <c r="N247" s="41"/>
      <c r="O247" s="41"/>
      <c r="P247" s="41"/>
      <c r="Q247" s="41"/>
      <c r="R247" s="41"/>
      <c r="S247" s="41"/>
      <c r="T247" s="41"/>
      <c r="U247" s="41"/>
      <c r="V247" s="41"/>
      <c r="W247" s="41"/>
      <c r="X247" s="41"/>
    </row>
    <row r="248" spans="13:24" ht="22.5" customHeight="1" x14ac:dyDescent="0.25">
      <c r="M248" s="41"/>
      <c r="N248" s="41"/>
      <c r="O248" s="41"/>
      <c r="P248" s="41"/>
      <c r="Q248" s="41"/>
      <c r="R248" s="41"/>
      <c r="S248" s="41"/>
      <c r="T248" s="41"/>
      <c r="U248" s="41"/>
      <c r="V248" s="41"/>
      <c r="W248" s="41"/>
      <c r="X248" s="41"/>
    </row>
    <row r="249" spans="13:24" ht="22.5" customHeight="1" x14ac:dyDescent="0.25">
      <c r="M249" s="41"/>
      <c r="N249" s="41"/>
      <c r="O249" s="41"/>
      <c r="P249" s="41"/>
      <c r="Q249" s="41"/>
      <c r="R249" s="41"/>
      <c r="S249" s="41"/>
      <c r="T249" s="41"/>
      <c r="U249" s="41"/>
      <c r="V249" s="41"/>
      <c r="W249" s="41"/>
      <c r="X249" s="41"/>
    </row>
    <row r="250" spans="13:24" ht="22.5" customHeight="1" x14ac:dyDescent="0.25">
      <c r="M250" s="41"/>
      <c r="N250" s="41"/>
      <c r="O250" s="41"/>
      <c r="P250" s="41"/>
      <c r="Q250" s="41"/>
      <c r="R250" s="41"/>
      <c r="S250" s="41"/>
      <c r="T250" s="41"/>
      <c r="U250" s="41"/>
      <c r="V250" s="41"/>
      <c r="W250" s="41"/>
      <c r="X250" s="41"/>
    </row>
    <row r="251" spans="13:24" ht="22.5" customHeight="1" x14ac:dyDescent="0.25">
      <c r="M251" s="41"/>
      <c r="N251" s="41"/>
      <c r="O251" s="41"/>
      <c r="P251" s="41"/>
      <c r="Q251" s="41"/>
      <c r="R251" s="41"/>
      <c r="S251" s="41"/>
      <c r="T251" s="41"/>
      <c r="U251" s="41"/>
      <c r="V251" s="41"/>
      <c r="W251" s="41"/>
      <c r="X251" s="41"/>
    </row>
    <row r="252" spans="13:24" ht="22.5" customHeight="1" x14ac:dyDescent="0.25">
      <c r="M252" s="41"/>
      <c r="N252" s="41"/>
      <c r="O252" s="41"/>
      <c r="P252" s="41"/>
      <c r="Q252" s="41"/>
      <c r="R252" s="41"/>
      <c r="S252" s="41"/>
      <c r="T252" s="41"/>
      <c r="U252" s="41"/>
      <c r="V252" s="41"/>
      <c r="W252" s="41"/>
      <c r="X252" s="41"/>
    </row>
    <row r="253" spans="13:24" ht="22.5" customHeight="1" x14ac:dyDescent="0.25">
      <c r="M253" s="41"/>
      <c r="N253" s="41"/>
      <c r="O253" s="41"/>
      <c r="P253" s="41"/>
      <c r="Q253" s="41"/>
      <c r="R253" s="41"/>
      <c r="S253" s="41"/>
      <c r="T253" s="41"/>
      <c r="U253" s="41"/>
      <c r="V253" s="41"/>
      <c r="W253" s="41"/>
      <c r="X253" s="41"/>
    </row>
    <row r="254" spans="13:24" ht="22.5" customHeight="1" x14ac:dyDescent="0.25">
      <c r="M254" s="41"/>
      <c r="N254" s="41"/>
      <c r="O254" s="41"/>
      <c r="P254" s="41"/>
      <c r="Q254" s="41"/>
      <c r="R254" s="41"/>
      <c r="S254" s="41"/>
      <c r="T254" s="41"/>
      <c r="U254" s="41"/>
      <c r="V254" s="41"/>
      <c r="W254" s="41"/>
      <c r="X254" s="41"/>
    </row>
    <row r="255" spans="13:24" ht="22.5" customHeight="1" x14ac:dyDescent="0.25">
      <c r="M255" s="41"/>
      <c r="N255" s="41"/>
      <c r="O255" s="41"/>
      <c r="P255" s="41"/>
      <c r="Q255" s="41"/>
      <c r="R255" s="41"/>
      <c r="S255" s="41"/>
      <c r="T255" s="41"/>
      <c r="U255" s="41"/>
      <c r="V255" s="41"/>
      <c r="W255" s="41"/>
      <c r="X255" s="41"/>
    </row>
    <row r="256" spans="13:24" ht="22.5" customHeight="1" x14ac:dyDescent="0.25">
      <c r="M256" s="41"/>
      <c r="N256" s="41"/>
      <c r="O256" s="41"/>
      <c r="P256" s="41"/>
      <c r="Q256" s="41"/>
      <c r="R256" s="41"/>
      <c r="S256" s="41"/>
      <c r="T256" s="41"/>
      <c r="U256" s="41"/>
      <c r="V256" s="41"/>
      <c r="W256" s="41"/>
      <c r="X256" s="41"/>
    </row>
    <row r="257" spans="2:24" ht="22.5" customHeight="1" x14ac:dyDescent="0.25">
      <c r="B257" s="60" t="str">
        <f>'Anlık Veri'!A77</f>
        <v xml:space="preserve">2. Borsa </v>
      </c>
      <c r="D257" s="60" t="str">
        <f>MID(B257,6,9)</f>
        <v xml:space="preserve">rsa </v>
      </c>
      <c r="E257" s="63" t="e">
        <f>D257/1</f>
        <v>#VALUE!</v>
      </c>
      <c r="M257" s="41"/>
      <c r="N257" s="41"/>
      <c r="O257" s="41"/>
      <c r="P257" s="41"/>
      <c r="Q257" s="41"/>
      <c r="R257" s="41"/>
      <c r="S257" s="41"/>
      <c r="T257" s="41"/>
      <c r="U257" s="41"/>
      <c r="V257" s="41"/>
      <c r="W257" s="41"/>
      <c r="X257" s="41"/>
    </row>
    <row r="258" spans="2:24" ht="22.5" customHeight="1" x14ac:dyDescent="0.25"/>
    <row r="259" spans="2:24" ht="22.5" customHeight="1" x14ac:dyDescent="0.25"/>
    <row r="260" spans="2:24" ht="22.5" customHeight="1" x14ac:dyDescent="0.25"/>
    <row r="261" spans="2:24" ht="22.5" customHeight="1" x14ac:dyDescent="0.25"/>
  </sheetData>
  <sheetProtection algorithmName="SHA-512" hashValue="ek8ZYdex6JsaQ4wtS0hRYAgSu2YWaGLf25yL9Bn+Kk+76nNp/QUp0ZzzDxuRi9iH3frbh+WP4fQaXeBq2jaO3A==" saltValue="EgWH+pO3K6JiguEHaZo3lg==" spinCount="100000" sheet="1" objects="1" scenarios="1"/>
  <mergeCells count="2145">
    <mergeCell ref="O217:P217"/>
    <mergeCell ref="Q217:R217"/>
    <mergeCell ref="S217:T217"/>
    <mergeCell ref="U217:V217"/>
    <mergeCell ref="W217:X217"/>
    <mergeCell ref="O210:P210"/>
    <mergeCell ref="Q210:R210"/>
    <mergeCell ref="S210:T210"/>
    <mergeCell ref="U210:V210"/>
    <mergeCell ref="W210:X210"/>
    <mergeCell ref="O218:P218"/>
    <mergeCell ref="Q218:R218"/>
    <mergeCell ref="S218:T218"/>
    <mergeCell ref="U218:V218"/>
    <mergeCell ref="W218:X218"/>
    <mergeCell ref="O215:P215"/>
    <mergeCell ref="Q215:R215"/>
    <mergeCell ref="S215:T215"/>
    <mergeCell ref="U215:V215"/>
    <mergeCell ref="W215:X215"/>
    <mergeCell ref="O216:P216"/>
    <mergeCell ref="Q216:R216"/>
    <mergeCell ref="S216:T216"/>
    <mergeCell ref="U216:V216"/>
    <mergeCell ref="W216:X216"/>
    <mergeCell ref="O214:P214"/>
    <mergeCell ref="U211:V211"/>
    <mergeCell ref="W211:X211"/>
    <mergeCell ref="O212:P212"/>
    <mergeCell ref="Q212:R212"/>
    <mergeCell ref="S212:T212"/>
    <mergeCell ref="U212:V212"/>
    <mergeCell ref="Q214:R214"/>
    <mergeCell ref="S214:T214"/>
    <mergeCell ref="U214:V214"/>
    <mergeCell ref="W214:X214"/>
    <mergeCell ref="O213:P213"/>
    <mergeCell ref="Q213:R213"/>
    <mergeCell ref="O205:P205"/>
    <mergeCell ref="Q205:R205"/>
    <mergeCell ref="S205:T205"/>
    <mergeCell ref="U205:V205"/>
    <mergeCell ref="W205:X205"/>
    <mergeCell ref="S213:T213"/>
    <mergeCell ref="U213:V213"/>
    <mergeCell ref="W213:X213"/>
    <mergeCell ref="O206:P206"/>
    <mergeCell ref="Q206:R206"/>
    <mergeCell ref="S206:T206"/>
    <mergeCell ref="U206:V206"/>
    <mergeCell ref="W206:X206"/>
    <mergeCell ref="O211:P211"/>
    <mergeCell ref="Q211:R211"/>
    <mergeCell ref="S211:T211"/>
    <mergeCell ref="W212:X212"/>
    <mergeCell ref="O209:P209"/>
    <mergeCell ref="Q209:R209"/>
    <mergeCell ref="S209:T209"/>
    <mergeCell ref="U209:V209"/>
    <mergeCell ref="W209:X209"/>
    <mergeCell ref="Q204:R204"/>
    <mergeCell ref="S204:T204"/>
    <mergeCell ref="U204:V204"/>
    <mergeCell ref="W204:X204"/>
    <mergeCell ref="O201:P201"/>
    <mergeCell ref="Q201:R201"/>
    <mergeCell ref="S201:T201"/>
    <mergeCell ref="U201:V201"/>
    <mergeCell ref="W201:X201"/>
    <mergeCell ref="O202:P202"/>
    <mergeCell ref="Q202:R202"/>
    <mergeCell ref="S202:T202"/>
    <mergeCell ref="U202:V202"/>
    <mergeCell ref="W202:X202"/>
    <mergeCell ref="Q208:R208"/>
    <mergeCell ref="S208:T208"/>
    <mergeCell ref="U208:V208"/>
    <mergeCell ref="W208:X208"/>
    <mergeCell ref="O207:P207"/>
    <mergeCell ref="Q207:R207"/>
    <mergeCell ref="S207:T207"/>
    <mergeCell ref="U207:V207"/>
    <mergeCell ref="W207:X207"/>
    <mergeCell ref="O208:P208"/>
    <mergeCell ref="O203:P203"/>
    <mergeCell ref="Q203:R203"/>
    <mergeCell ref="S203:T203"/>
    <mergeCell ref="U203:V203"/>
    <mergeCell ref="W203:X203"/>
    <mergeCell ref="O204:P204"/>
    <mergeCell ref="O199:P199"/>
    <mergeCell ref="Q199:R199"/>
    <mergeCell ref="S199:T199"/>
    <mergeCell ref="U199:V199"/>
    <mergeCell ref="W199:X199"/>
    <mergeCell ref="O200:P200"/>
    <mergeCell ref="Q200:R200"/>
    <mergeCell ref="S200:T200"/>
    <mergeCell ref="U200:V200"/>
    <mergeCell ref="W200:X200"/>
    <mergeCell ref="O197:P197"/>
    <mergeCell ref="Q197:R197"/>
    <mergeCell ref="S197:T197"/>
    <mergeCell ref="U197:V197"/>
    <mergeCell ref="W197:X197"/>
    <mergeCell ref="O198:P198"/>
    <mergeCell ref="Q198:R198"/>
    <mergeCell ref="S198:T198"/>
    <mergeCell ref="U198:V198"/>
    <mergeCell ref="W198:X198"/>
    <mergeCell ref="O195:P195"/>
    <mergeCell ref="Q195:R195"/>
    <mergeCell ref="S195:T195"/>
    <mergeCell ref="U195:V195"/>
    <mergeCell ref="W195:X195"/>
    <mergeCell ref="O196:P196"/>
    <mergeCell ref="Q196:R196"/>
    <mergeCell ref="S196:T196"/>
    <mergeCell ref="U196:V196"/>
    <mergeCell ref="W196:X196"/>
    <mergeCell ref="O193:P193"/>
    <mergeCell ref="Q193:R193"/>
    <mergeCell ref="S193:T193"/>
    <mergeCell ref="U193:V193"/>
    <mergeCell ref="W193:X193"/>
    <mergeCell ref="O194:P194"/>
    <mergeCell ref="Q194:R194"/>
    <mergeCell ref="S194:T194"/>
    <mergeCell ref="U194:V194"/>
    <mergeCell ref="W194:X194"/>
    <mergeCell ref="O191:P191"/>
    <mergeCell ref="Q191:R191"/>
    <mergeCell ref="S191:T191"/>
    <mergeCell ref="U191:V191"/>
    <mergeCell ref="W191:X191"/>
    <mergeCell ref="O192:P192"/>
    <mergeCell ref="Q192:R192"/>
    <mergeCell ref="S192:T192"/>
    <mergeCell ref="U192:V192"/>
    <mergeCell ref="W192:X192"/>
    <mergeCell ref="O189:P189"/>
    <mergeCell ref="Q189:R189"/>
    <mergeCell ref="S189:T189"/>
    <mergeCell ref="U189:V189"/>
    <mergeCell ref="W189:X189"/>
    <mergeCell ref="O190:P190"/>
    <mergeCell ref="Q190:R190"/>
    <mergeCell ref="S190:T190"/>
    <mergeCell ref="U190:V190"/>
    <mergeCell ref="W190:X190"/>
    <mergeCell ref="O187:P187"/>
    <mergeCell ref="Q187:R187"/>
    <mergeCell ref="S187:T187"/>
    <mergeCell ref="U187:V187"/>
    <mergeCell ref="W187:X187"/>
    <mergeCell ref="O188:P188"/>
    <mergeCell ref="Q188:R188"/>
    <mergeCell ref="S188:T188"/>
    <mergeCell ref="U188:V188"/>
    <mergeCell ref="W188:X188"/>
    <mergeCell ref="O185:P185"/>
    <mergeCell ref="Q185:R185"/>
    <mergeCell ref="S185:T185"/>
    <mergeCell ref="U185:V185"/>
    <mergeCell ref="W185:X185"/>
    <mergeCell ref="O186:P186"/>
    <mergeCell ref="Q186:R186"/>
    <mergeCell ref="S186:T186"/>
    <mergeCell ref="U186:V186"/>
    <mergeCell ref="W186:X186"/>
    <mergeCell ref="O183:P183"/>
    <mergeCell ref="Q183:R183"/>
    <mergeCell ref="S183:T183"/>
    <mergeCell ref="U183:V183"/>
    <mergeCell ref="W183:X183"/>
    <mergeCell ref="O184:P184"/>
    <mergeCell ref="Q184:R184"/>
    <mergeCell ref="S184:T184"/>
    <mergeCell ref="U184:V184"/>
    <mergeCell ref="W184:X184"/>
    <mergeCell ref="O181:P181"/>
    <mergeCell ref="Q181:R181"/>
    <mergeCell ref="S181:T181"/>
    <mergeCell ref="U181:V181"/>
    <mergeCell ref="W181:X181"/>
    <mergeCell ref="O182:P182"/>
    <mergeCell ref="Q182:R182"/>
    <mergeCell ref="S182:T182"/>
    <mergeCell ref="U182:V182"/>
    <mergeCell ref="W182:X182"/>
    <mergeCell ref="O179:P179"/>
    <mergeCell ref="Q179:R179"/>
    <mergeCell ref="S179:T179"/>
    <mergeCell ref="U179:V179"/>
    <mergeCell ref="W179:X179"/>
    <mergeCell ref="O180:P180"/>
    <mergeCell ref="Q180:R180"/>
    <mergeCell ref="S180:T180"/>
    <mergeCell ref="U180:V180"/>
    <mergeCell ref="W180:X180"/>
    <mergeCell ref="O177:P177"/>
    <mergeCell ref="Q177:R177"/>
    <mergeCell ref="S177:T177"/>
    <mergeCell ref="U177:V177"/>
    <mergeCell ref="W177:X177"/>
    <mergeCell ref="O178:P178"/>
    <mergeCell ref="Q178:R178"/>
    <mergeCell ref="S178:T178"/>
    <mergeCell ref="U178:V178"/>
    <mergeCell ref="W178:X178"/>
    <mergeCell ref="O176:P176"/>
    <mergeCell ref="Q176:R176"/>
    <mergeCell ref="S176:T176"/>
    <mergeCell ref="U176:V176"/>
    <mergeCell ref="W176:X176"/>
    <mergeCell ref="W168:X168"/>
    <mergeCell ref="O173:P173"/>
    <mergeCell ref="Q173:R173"/>
    <mergeCell ref="S173:T173"/>
    <mergeCell ref="U173:V173"/>
    <mergeCell ref="W173:X173"/>
    <mergeCell ref="O174:P174"/>
    <mergeCell ref="Q174:R174"/>
    <mergeCell ref="S174:T174"/>
    <mergeCell ref="U174:V174"/>
    <mergeCell ref="W174:X174"/>
    <mergeCell ref="W171:X171"/>
    <mergeCell ref="O172:P172"/>
    <mergeCell ref="Q172:R172"/>
    <mergeCell ref="S172:T172"/>
    <mergeCell ref="U172:V172"/>
    <mergeCell ref="W172:X172"/>
    <mergeCell ref="W164:X164"/>
    <mergeCell ref="W169:X169"/>
    <mergeCell ref="O170:P170"/>
    <mergeCell ref="Q170:R170"/>
    <mergeCell ref="S170:T170"/>
    <mergeCell ref="U170:V170"/>
    <mergeCell ref="W170:X170"/>
    <mergeCell ref="W162:X162"/>
    <mergeCell ref="U166:V166"/>
    <mergeCell ref="U162:V162"/>
    <mergeCell ref="O167:P167"/>
    <mergeCell ref="Q167:R167"/>
    <mergeCell ref="S167:T167"/>
    <mergeCell ref="W167:X167"/>
    <mergeCell ref="O175:P175"/>
    <mergeCell ref="Q175:R175"/>
    <mergeCell ref="S175:T175"/>
    <mergeCell ref="U175:V175"/>
    <mergeCell ref="W175:X175"/>
    <mergeCell ref="W159:X159"/>
    <mergeCell ref="O160:P160"/>
    <mergeCell ref="Q160:R160"/>
    <mergeCell ref="S160:T160"/>
    <mergeCell ref="W160:X160"/>
    <mergeCell ref="W165:X165"/>
    <mergeCell ref="O166:P166"/>
    <mergeCell ref="Q166:R166"/>
    <mergeCell ref="S166:T166"/>
    <mergeCell ref="W166:X166"/>
    <mergeCell ref="W157:X157"/>
    <mergeCell ref="O158:P158"/>
    <mergeCell ref="Q158:R158"/>
    <mergeCell ref="S158:T158"/>
    <mergeCell ref="W158:X158"/>
    <mergeCell ref="O155:P155"/>
    <mergeCell ref="Q155:R155"/>
    <mergeCell ref="S155:T155"/>
    <mergeCell ref="W155:X155"/>
    <mergeCell ref="O156:P156"/>
    <mergeCell ref="Q156:R156"/>
    <mergeCell ref="S156:T156"/>
    <mergeCell ref="W156:X156"/>
    <mergeCell ref="U158:V158"/>
    <mergeCell ref="O161:P161"/>
    <mergeCell ref="Q161:R161"/>
    <mergeCell ref="S161:T161"/>
    <mergeCell ref="W161:X161"/>
    <mergeCell ref="W163:X163"/>
    <mergeCell ref="O164:P164"/>
    <mergeCell ref="Q164:R164"/>
    <mergeCell ref="S164:T164"/>
    <mergeCell ref="W153:X153"/>
    <mergeCell ref="O154:P154"/>
    <mergeCell ref="Q154:R154"/>
    <mergeCell ref="S154:T154"/>
    <mergeCell ref="W154:X154"/>
    <mergeCell ref="O151:P151"/>
    <mergeCell ref="Q151:R151"/>
    <mergeCell ref="S151:T151"/>
    <mergeCell ref="W151:X151"/>
    <mergeCell ref="O152:P152"/>
    <mergeCell ref="Q152:R152"/>
    <mergeCell ref="S152:T152"/>
    <mergeCell ref="W152:X152"/>
    <mergeCell ref="O149:P149"/>
    <mergeCell ref="Q149:R149"/>
    <mergeCell ref="S149:T149"/>
    <mergeCell ref="W149:X149"/>
    <mergeCell ref="O150:P150"/>
    <mergeCell ref="Q150:R150"/>
    <mergeCell ref="S150:T150"/>
    <mergeCell ref="W150:X150"/>
    <mergeCell ref="U154:V154"/>
    <mergeCell ref="U150:V150"/>
    <mergeCell ref="W147:X147"/>
    <mergeCell ref="O148:P148"/>
    <mergeCell ref="Q148:R148"/>
    <mergeCell ref="S148:T148"/>
    <mergeCell ref="W148:X148"/>
    <mergeCell ref="O145:P145"/>
    <mergeCell ref="Q145:R145"/>
    <mergeCell ref="S145:T145"/>
    <mergeCell ref="W145:X145"/>
    <mergeCell ref="O146:P146"/>
    <mergeCell ref="Q146:R146"/>
    <mergeCell ref="S146:T146"/>
    <mergeCell ref="W146:X146"/>
    <mergeCell ref="O143:P143"/>
    <mergeCell ref="Q143:R143"/>
    <mergeCell ref="S143:T143"/>
    <mergeCell ref="W143:X143"/>
    <mergeCell ref="O144:P144"/>
    <mergeCell ref="Q144:R144"/>
    <mergeCell ref="S144:T144"/>
    <mergeCell ref="W144:X144"/>
    <mergeCell ref="U146:V146"/>
    <mergeCell ref="W141:X141"/>
    <mergeCell ref="O142:P142"/>
    <mergeCell ref="Q142:R142"/>
    <mergeCell ref="S142:T142"/>
    <mergeCell ref="W142:X142"/>
    <mergeCell ref="O139:P139"/>
    <mergeCell ref="Q139:R139"/>
    <mergeCell ref="S139:T139"/>
    <mergeCell ref="W139:X139"/>
    <mergeCell ref="O140:P140"/>
    <mergeCell ref="Q140:R140"/>
    <mergeCell ref="S140:T140"/>
    <mergeCell ref="W140:X140"/>
    <mergeCell ref="O137:P137"/>
    <mergeCell ref="Q137:R137"/>
    <mergeCell ref="S137:T137"/>
    <mergeCell ref="W137:X137"/>
    <mergeCell ref="O138:P138"/>
    <mergeCell ref="Q138:R138"/>
    <mergeCell ref="S138:T138"/>
    <mergeCell ref="W138:X138"/>
    <mergeCell ref="U142:V142"/>
    <mergeCell ref="U138:V138"/>
    <mergeCell ref="W135:X135"/>
    <mergeCell ref="O136:P136"/>
    <mergeCell ref="Q136:R136"/>
    <mergeCell ref="S136:T136"/>
    <mergeCell ref="W136:X136"/>
    <mergeCell ref="O133:P133"/>
    <mergeCell ref="Q133:R133"/>
    <mergeCell ref="S133:T133"/>
    <mergeCell ref="W133:X133"/>
    <mergeCell ref="O134:P134"/>
    <mergeCell ref="Q134:R134"/>
    <mergeCell ref="S134:T134"/>
    <mergeCell ref="W134:X134"/>
    <mergeCell ref="O131:P131"/>
    <mergeCell ref="Q131:R131"/>
    <mergeCell ref="S131:T131"/>
    <mergeCell ref="W131:X131"/>
    <mergeCell ref="O132:P132"/>
    <mergeCell ref="Q132:R132"/>
    <mergeCell ref="S132:T132"/>
    <mergeCell ref="W132:X132"/>
    <mergeCell ref="U134:V134"/>
    <mergeCell ref="W129:X129"/>
    <mergeCell ref="O130:P130"/>
    <mergeCell ref="Q130:R130"/>
    <mergeCell ref="S130:T130"/>
    <mergeCell ref="W130:X130"/>
    <mergeCell ref="O127:P127"/>
    <mergeCell ref="Q127:R127"/>
    <mergeCell ref="S127:T127"/>
    <mergeCell ref="W127:X127"/>
    <mergeCell ref="O128:P128"/>
    <mergeCell ref="Q128:R128"/>
    <mergeCell ref="S128:T128"/>
    <mergeCell ref="W128:X128"/>
    <mergeCell ref="O125:P125"/>
    <mergeCell ref="Q125:R125"/>
    <mergeCell ref="S125:T125"/>
    <mergeCell ref="W125:X125"/>
    <mergeCell ref="O126:P126"/>
    <mergeCell ref="Q126:R126"/>
    <mergeCell ref="S126:T126"/>
    <mergeCell ref="W126:X126"/>
    <mergeCell ref="U130:V130"/>
    <mergeCell ref="U126:V126"/>
    <mergeCell ref="W123:X123"/>
    <mergeCell ref="O124:P124"/>
    <mergeCell ref="Q124:R124"/>
    <mergeCell ref="S124:T124"/>
    <mergeCell ref="W124:X124"/>
    <mergeCell ref="O121:P121"/>
    <mergeCell ref="Q121:R121"/>
    <mergeCell ref="S121:T121"/>
    <mergeCell ref="W121:X121"/>
    <mergeCell ref="O122:P122"/>
    <mergeCell ref="Q122:R122"/>
    <mergeCell ref="S122:T122"/>
    <mergeCell ref="W122:X122"/>
    <mergeCell ref="O119:P119"/>
    <mergeCell ref="Q119:R119"/>
    <mergeCell ref="S119:T119"/>
    <mergeCell ref="W119:X119"/>
    <mergeCell ref="O120:P120"/>
    <mergeCell ref="Q120:R120"/>
    <mergeCell ref="S120:T120"/>
    <mergeCell ref="W120:X120"/>
    <mergeCell ref="U122:V122"/>
    <mergeCell ref="W117:X117"/>
    <mergeCell ref="O118:P118"/>
    <mergeCell ref="Q118:R118"/>
    <mergeCell ref="S118:T118"/>
    <mergeCell ref="W118:X118"/>
    <mergeCell ref="O115:P115"/>
    <mergeCell ref="Q115:R115"/>
    <mergeCell ref="S115:T115"/>
    <mergeCell ref="W115:X115"/>
    <mergeCell ref="O116:P116"/>
    <mergeCell ref="Q116:R116"/>
    <mergeCell ref="S116:T116"/>
    <mergeCell ref="W116:X116"/>
    <mergeCell ref="O113:P113"/>
    <mergeCell ref="Q113:R113"/>
    <mergeCell ref="S113:T113"/>
    <mergeCell ref="W113:X113"/>
    <mergeCell ref="O114:P114"/>
    <mergeCell ref="Q114:R114"/>
    <mergeCell ref="S114:T114"/>
    <mergeCell ref="W114:X114"/>
    <mergeCell ref="U118:V118"/>
    <mergeCell ref="U114:V114"/>
    <mergeCell ref="W111:X111"/>
    <mergeCell ref="O112:P112"/>
    <mergeCell ref="Q112:R112"/>
    <mergeCell ref="S112:T112"/>
    <mergeCell ref="W112:X112"/>
    <mergeCell ref="O109:P109"/>
    <mergeCell ref="Q109:R109"/>
    <mergeCell ref="S109:T109"/>
    <mergeCell ref="W109:X109"/>
    <mergeCell ref="O110:P110"/>
    <mergeCell ref="Q110:R110"/>
    <mergeCell ref="S110:T110"/>
    <mergeCell ref="W110:X110"/>
    <mergeCell ref="O107:P107"/>
    <mergeCell ref="Q107:R107"/>
    <mergeCell ref="S107:T107"/>
    <mergeCell ref="W107:X107"/>
    <mergeCell ref="O108:P108"/>
    <mergeCell ref="Q108:R108"/>
    <mergeCell ref="S108:T108"/>
    <mergeCell ref="W108:X108"/>
    <mergeCell ref="U110:V110"/>
    <mergeCell ref="W105:X105"/>
    <mergeCell ref="O106:P106"/>
    <mergeCell ref="Q106:R106"/>
    <mergeCell ref="S106:T106"/>
    <mergeCell ref="W106:X106"/>
    <mergeCell ref="O103:P103"/>
    <mergeCell ref="Q103:R103"/>
    <mergeCell ref="S103:T103"/>
    <mergeCell ref="W103:X103"/>
    <mergeCell ref="O104:P104"/>
    <mergeCell ref="Q104:R104"/>
    <mergeCell ref="S104:T104"/>
    <mergeCell ref="W104:X104"/>
    <mergeCell ref="O101:P101"/>
    <mergeCell ref="Q101:R101"/>
    <mergeCell ref="S101:T101"/>
    <mergeCell ref="W101:X101"/>
    <mergeCell ref="O102:P102"/>
    <mergeCell ref="Q102:R102"/>
    <mergeCell ref="S102:T102"/>
    <mergeCell ref="W102:X102"/>
    <mergeCell ref="U106:V106"/>
    <mergeCell ref="U102:V102"/>
    <mergeCell ref="W99:X99"/>
    <mergeCell ref="O100:P100"/>
    <mergeCell ref="Q100:R100"/>
    <mergeCell ref="S100:T100"/>
    <mergeCell ref="W100:X100"/>
    <mergeCell ref="O97:P97"/>
    <mergeCell ref="Q97:R97"/>
    <mergeCell ref="S97:T97"/>
    <mergeCell ref="W97:X97"/>
    <mergeCell ref="O98:P98"/>
    <mergeCell ref="Q98:R98"/>
    <mergeCell ref="S98:T98"/>
    <mergeCell ref="W98:X98"/>
    <mergeCell ref="O95:P95"/>
    <mergeCell ref="Q95:R95"/>
    <mergeCell ref="S95:T95"/>
    <mergeCell ref="W95:X95"/>
    <mergeCell ref="O96:P96"/>
    <mergeCell ref="Q96:R96"/>
    <mergeCell ref="S96:T96"/>
    <mergeCell ref="W96:X96"/>
    <mergeCell ref="U98:V98"/>
    <mergeCell ref="W93:X93"/>
    <mergeCell ref="O94:P94"/>
    <mergeCell ref="Q94:R94"/>
    <mergeCell ref="S94:T94"/>
    <mergeCell ref="W94:X94"/>
    <mergeCell ref="O91:P91"/>
    <mergeCell ref="Q91:R91"/>
    <mergeCell ref="S91:T91"/>
    <mergeCell ref="W91:X91"/>
    <mergeCell ref="O92:P92"/>
    <mergeCell ref="Q92:R92"/>
    <mergeCell ref="S92:T92"/>
    <mergeCell ref="W92:X92"/>
    <mergeCell ref="O89:P89"/>
    <mergeCell ref="Q89:R89"/>
    <mergeCell ref="S89:T89"/>
    <mergeCell ref="W89:X89"/>
    <mergeCell ref="O90:P90"/>
    <mergeCell ref="Q90:R90"/>
    <mergeCell ref="S90:T90"/>
    <mergeCell ref="W90:X90"/>
    <mergeCell ref="U94:V94"/>
    <mergeCell ref="U90:V90"/>
    <mergeCell ref="W87:X87"/>
    <mergeCell ref="O88:P88"/>
    <mergeCell ref="Q88:R88"/>
    <mergeCell ref="S88:T88"/>
    <mergeCell ref="W88:X88"/>
    <mergeCell ref="O85:P85"/>
    <mergeCell ref="Q85:R85"/>
    <mergeCell ref="S85:T85"/>
    <mergeCell ref="W85:X85"/>
    <mergeCell ref="O86:P86"/>
    <mergeCell ref="Q86:R86"/>
    <mergeCell ref="S86:T86"/>
    <mergeCell ref="W86:X86"/>
    <mergeCell ref="O83:P83"/>
    <mergeCell ref="Q83:R83"/>
    <mergeCell ref="S83:T83"/>
    <mergeCell ref="W83:X83"/>
    <mergeCell ref="O84:P84"/>
    <mergeCell ref="Q84:R84"/>
    <mergeCell ref="S84:T84"/>
    <mergeCell ref="W84:X84"/>
    <mergeCell ref="U86:V86"/>
    <mergeCell ref="W81:X81"/>
    <mergeCell ref="O82:P82"/>
    <mergeCell ref="Q82:R82"/>
    <mergeCell ref="S82:T82"/>
    <mergeCell ref="W82:X82"/>
    <mergeCell ref="O79:P79"/>
    <mergeCell ref="Q79:R79"/>
    <mergeCell ref="S79:T79"/>
    <mergeCell ref="W79:X79"/>
    <mergeCell ref="O80:P80"/>
    <mergeCell ref="Q80:R80"/>
    <mergeCell ref="S80:T80"/>
    <mergeCell ref="W80:X80"/>
    <mergeCell ref="O77:P77"/>
    <mergeCell ref="Q77:R77"/>
    <mergeCell ref="S77:T77"/>
    <mergeCell ref="W77:X77"/>
    <mergeCell ref="O78:P78"/>
    <mergeCell ref="Q78:R78"/>
    <mergeCell ref="S78:T78"/>
    <mergeCell ref="W78:X78"/>
    <mergeCell ref="U82:V82"/>
    <mergeCell ref="U78:V78"/>
    <mergeCell ref="W75:X75"/>
    <mergeCell ref="O76:P76"/>
    <mergeCell ref="Q76:R76"/>
    <mergeCell ref="S76:T76"/>
    <mergeCell ref="W76:X76"/>
    <mergeCell ref="O73:P73"/>
    <mergeCell ref="Q73:R73"/>
    <mergeCell ref="S73:T73"/>
    <mergeCell ref="W73:X73"/>
    <mergeCell ref="O74:P74"/>
    <mergeCell ref="Q74:R74"/>
    <mergeCell ref="S74:T74"/>
    <mergeCell ref="W74:X74"/>
    <mergeCell ref="O71:P71"/>
    <mergeCell ref="Q71:R71"/>
    <mergeCell ref="S71:T71"/>
    <mergeCell ref="W71:X71"/>
    <mergeCell ref="O72:P72"/>
    <mergeCell ref="Q72:R72"/>
    <mergeCell ref="S72:T72"/>
    <mergeCell ref="W72:X72"/>
    <mergeCell ref="U74:V74"/>
    <mergeCell ref="W69:X69"/>
    <mergeCell ref="O70:P70"/>
    <mergeCell ref="Q70:R70"/>
    <mergeCell ref="S70:T70"/>
    <mergeCell ref="W70:X70"/>
    <mergeCell ref="O67:P67"/>
    <mergeCell ref="Q67:R67"/>
    <mergeCell ref="S67:T67"/>
    <mergeCell ref="W67:X67"/>
    <mergeCell ref="O68:P68"/>
    <mergeCell ref="Q68:R68"/>
    <mergeCell ref="S68:T68"/>
    <mergeCell ref="W68:X68"/>
    <mergeCell ref="O65:P65"/>
    <mergeCell ref="Q65:R65"/>
    <mergeCell ref="S65:T65"/>
    <mergeCell ref="W65:X65"/>
    <mergeCell ref="O66:P66"/>
    <mergeCell ref="Q66:R66"/>
    <mergeCell ref="S66:T66"/>
    <mergeCell ref="W66:X66"/>
    <mergeCell ref="U70:V70"/>
    <mergeCell ref="U66:V66"/>
    <mergeCell ref="W63:X63"/>
    <mergeCell ref="O64:P64"/>
    <mergeCell ref="Q64:R64"/>
    <mergeCell ref="S64:T64"/>
    <mergeCell ref="W64:X64"/>
    <mergeCell ref="O61:P61"/>
    <mergeCell ref="Q61:R61"/>
    <mergeCell ref="S61:T61"/>
    <mergeCell ref="W61:X61"/>
    <mergeCell ref="O62:P62"/>
    <mergeCell ref="Q62:R62"/>
    <mergeCell ref="S62:T62"/>
    <mergeCell ref="W62:X62"/>
    <mergeCell ref="O59:P59"/>
    <mergeCell ref="Q59:R59"/>
    <mergeCell ref="S59:T59"/>
    <mergeCell ref="W59:X59"/>
    <mergeCell ref="O60:P60"/>
    <mergeCell ref="Q60:R60"/>
    <mergeCell ref="S60:T60"/>
    <mergeCell ref="W60:X60"/>
    <mergeCell ref="U62:V62"/>
    <mergeCell ref="W57:X57"/>
    <mergeCell ref="O58:P58"/>
    <mergeCell ref="Q58:R58"/>
    <mergeCell ref="S58:T58"/>
    <mergeCell ref="W58:X58"/>
    <mergeCell ref="O55:P55"/>
    <mergeCell ref="Q55:R55"/>
    <mergeCell ref="S55:T55"/>
    <mergeCell ref="W55:X55"/>
    <mergeCell ref="O56:P56"/>
    <mergeCell ref="Q56:R56"/>
    <mergeCell ref="S56:T56"/>
    <mergeCell ref="W56:X56"/>
    <mergeCell ref="O53:P53"/>
    <mergeCell ref="Q53:R53"/>
    <mergeCell ref="S53:T53"/>
    <mergeCell ref="W53:X53"/>
    <mergeCell ref="O54:P54"/>
    <mergeCell ref="Q54:R54"/>
    <mergeCell ref="S54:T54"/>
    <mergeCell ref="W54:X54"/>
    <mergeCell ref="U58:V58"/>
    <mergeCell ref="U54:V54"/>
    <mergeCell ref="W51:X51"/>
    <mergeCell ref="O52:P52"/>
    <mergeCell ref="Q52:R52"/>
    <mergeCell ref="S52:T52"/>
    <mergeCell ref="W52:X52"/>
    <mergeCell ref="O49:P49"/>
    <mergeCell ref="Q49:R49"/>
    <mergeCell ref="S49:T49"/>
    <mergeCell ref="W49:X49"/>
    <mergeCell ref="O50:P50"/>
    <mergeCell ref="Q50:R50"/>
    <mergeCell ref="S50:T50"/>
    <mergeCell ref="W50:X50"/>
    <mergeCell ref="O47:P47"/>
    <mergeCell ref="Q47:R47"/>
    <mergeCell ref="S47:T47"/>
    <mergeCell ref="W47:X47"/>
    <mergeCell ref="O48:P48"/>
    <mergeCell ref="Q48:R48"/>
    <mergeCell ref="S48:T48"/>
    <mergeCell ref="W48:X48"/>
    <mergeCell ref="U50:V50"/>
    <mergeCell ref="W45:X45"/>
    <mergeCell ref="O46:P46"/>
    <mergeCell ref="Q46:R46"/>
    <mergeCell ref="S46:T46"/>
    <mergeCell ref="W46:X46"/>
    <mergeCell ref="O43:P43"/>
    <mergeCell ref="Q43:R43"/>
    <mergeCell ref="S43:T43"/>
    <mergeCell ref="W43:X43"/>
    <mergeCell ref="O44:P44"/>
    <mergeCell ref="Q44:R44"/>
    <mergeCell ref="S44:T44"/>
    <mergeCell ref="W44:X44"/>
    <mergeCell ref="O41:P41"/>
    <mergeCell ref="Q41:R41"/>
    <mergeCell ref="S41:T41"/>
    <mergeCell ref="W41:X41"/>
    <mergeCell ref="O42:P42"/>
    <mergeCell ref="Q42:R42"/>
    <mergeCell ref="S42:T42"/>
    <mergeCell ref="W42:X42"/>
    <mergeCell ref="U46:V46"/>
    <mergeCell ref="U42:V42"/>
    <mergeCell ref="W39:X39"/>
    <mergeCell ref="O40:P40"/>
    <mergeCell ref="Q40:R40"/>
    <mergeCell ref="S40:T40"/>
    <mergeCell ref="W40:X40"/>
    <mergeCell ref="O37:P37"/>
    <mergeCell ref="Q37:R37"/>
    <mergeCell ref="S37:T37"/>
    <mergeCell ref="W37:X37"/>
    <mergeCell ref="O38:P38"/>
    <mergeCell ref="Q38:R38"/>
    <mergeCell ref="S38:T38"/>
    <mergeCell ref="W38:X38"/>
    <mergeCell ref="O35:P35"/>
    <mergeCell ref="Q35:R35"/>
    <mergeCell ref="S35:T35"/>
    <mergeCell ref="W35:X35"/>
    <mergeCell ref="O36:P36"/>
    <mergeCell ref="Q36:R36"/>
    <mergeCell ref="S36:T36"/>
    <mergeCell ref="W36:X36"/>
    <mergeCell ref="U38:V38"/>
    <mergeCell ref="W33:X33"/>
    <mergeCell ref="O34:P34"/>
    <mergeCell ref="Q34:R34"/>
    <mergeCell ref="S34:T34"/>
    <mergeCell ref="W34:X34"/>
    <mergeCell ref="O31:P31"/>
    <mergeCell ref="Q31:R31"/>
    <mergeCell ref="S31:T31"/>
    <mergeCell ref="W31:X31"/>
    <mergeCell ref="O32:P32"/>
    <mergeCell ref="Q32:R32"/>
    <mergeCell ref="S32:T32"/>
    <mergeCell ref="W32:X32"/>
    <mergeCell ref="O29:P29"/>
    <mergeCell ref="Q29:R29"/>
    <mergeCell ref="S29:T29"/>
    <mergeCell ref="W29:X29"/>
    <mergeCell ref="O30:P30"/>
    <mergeCell ref="Q30:R30"/>
    <mergeCell ref="S30:T30"/>
    <mergeCell ref="W30:X30"/>
    <mergeCell ref="U34:V34"/>
    <mergeCell ref="U30:V30"/>
    <mergeCell ref="O27:P27"/>
    <mergeCell ref="Q27:R27"/>
    <mergeCell ref="S27:T27"/>
    <mergeCell ref="W27:X27"/>
    <mergeCell ref="O28:P28"/>
    <mergeCell ref="Q28:R28"/>
    <mergeCell ref="S28:T28"/>
    <mergeCell ref="W28:X28"/>
    <mergeCell ref="O25:P25"/>
    <mergeCell ref="Q25:R25"/>
    <mergeCell ref="S25:T25"/>
    <mergeCell ref="W25:X25"/>
    <mergeCell ref="O26:P26"/>
    <mergeCell ref="Q26:R26"/>
    <mergeCell ref="S26:T26"/>
    <mergeCell ref="W26:X26"/>
    <mergeCell ref="O23:P23"/>
    <mergeCell ref="Q23:R23"/>
    <mergeCell ref="S23:T23"/>
    <mergeCell ref="W23:X23"/>
    <mergeCell ref="O24:P24"/>
    <mergeCell ref="Q24:R24"/>
    <mergeCell ref="S24:T24"/>
    <mergeCell ref="W24:X24"/>
    <mergeCell ref="U26:V26"/>
    <mergeCell ref="Q21:R21"/>
    <mergeCell ref="S21:T21"/>
    <mergeCell ref="W21:X21"/>
    <mergeCell ref="O22:P22"/>
    <mergeCell ref="Q22:R22"/>
    <mergeCell ref="S22:T22"/>
    <mergeCell ref="W22:X22"/>
    <mergeCell ref="Q19:R19"/>
    <mergeCell ref="S19:T19"/>
    <mergeCell ref="W19:X19"/>
    <mergeCell ref="O20:P20"/>
    <mergeCell ref="Q20:R20"/>
    <mergeCell ref="S20:T20"/>
    <mergeCell ref="W20:X20"/>
    <mergeCell ref="N14:X16"/>
    <mergeCell ref="N17:N18"/>
    <mergeCell ref="O17:P18"/>
    <mergeCell ref="Q17:R18"/>
    <mergeCell ref="S17:T18"/>
    <mergeCell ref="O19:P19"/>
    <mergeCell ref="U22:V22"/>
    <mergeCell ref="U19:V19"/>
    <mergeCell ref="U17:V18"/>
    <mergeCell ref="W17:X18"/>
    <mergeCell ref="B239:C239"/>
    <mergeCell ref="D239:E239"/>
    <mergeCell ref="F239:G239"/>
    <mergeCell ref="H239:I239"/>
    <mergeCell ref="J239:K239"/>
    <mergeCell ref="B238:C238"/>
    <mergeCell ref="D238:E238"/>
    <mergeCell ref="F238:G238"/>
    <mergeCell ref="H238:I238"/>
    <mergeCell ref="J238:K238"/>
    <mergeCell ref="B237:C237"/>
    <mergeCell ref="D237:E237"/>
    <mergeCell ref="F237:G237"/>
    <mergeCell ref="H237:I237"/>
    <mergeCell ref="J237:K237"/>
    <mergeCell ref="B236:C236"/>
    <mergeCell ref="D236:E236"/>
    <mergeCell ref="F236:G236"/>
    <mergeCell ref="H236:I236"/>
    <mergeCell ref="J236:K236"/>
    <mergeCell ref="B235:C235"/>
    <mergeCell ref="D235:E235"/>
    <mergeCell ref="F235:G235"/>
    <mergeCell ref="H235:I235"/>
    <mergeCell ref="J235:K235"/>
    <mergeCell ref="B234:C234"/>
    <mergeCell ref="D234:E234"/>
    <mergeCell ref="F234:G234"/>
    <mergeCell ref="H234:I234"/>
    <mergeCell ref="J234:K234"/>
    <mergeCell ref="B233:C233"/>
    <mergeCell ref="D233:E233"/>
    <mergeCell ref="F233:G233"/>
    <mergeCell ref="H233:I233"/>
    <mergeCell ref="J233:K233"/>
    <mergeCell ref="B232:C232"/>
    <mergeCell ref="D232:E232"/>
    <mergeCell ref="F232:G232"/>
    <mergeCell ref="H232:I232"/>
    <mergeCell ref="J232:K232"/>
    <mergeCell ref="B231:C231"/>
    <mergeCell ref="D231:E231"/>
    <mergeCell ref="F231:G231"/>
    <mergeCell ref="H231:I231"/>
    <mergeCell ref="J231:K231"/>
    <mergeCell ref="B230:C230"/>
    <mergeCell ref="D230:E230"/>
    <mergeCell ref="F230:G230"/>
    <mergeCell ref="H230:I230"/>
    <mergeCell ref="J230:K230"/>
    <mergeCell ref="B229:C229"/>
    <mergeCell ref="D229:E229"/>
    <mergeCell ref="F229:G229"/>
    <mergeCell ref="H229:I229"/>
    <mergeCell ref="J229:K229"/>
    <mergeCell ref="B228:C228"/>
    <mergeCell ref="D228:E228"/>
    <mergeCell ref="F228:G228"/>
    <mergeCell ref="H228:I228"/>
    <mergeCell ref="J228:K228"/>
    <mergeCell ref="B227:C227"/>
    <mergeCell ref="D227:E227"/>
    <mergeCell ref="F227:G227"/>
    <mergeCell ref="H227:I227"/>
    <mergeCell ref="J227:K227"/>
    <mergeCell ref="B226:C226"/>
    <mergeCell ref="D226:E226"/>
    <mergeCell ref="F226:G226"/>
    <mergeCell ref="H226:I226"/>
    <mergeCell ref="J226:K226"/>
    <mergeCell ref="B225:C225"/>
    <mergeCell ref="D225:E225"/>
    <mergeCell ref="F225:G225"/>
    <mergeCell ref="H225:I225"/>
    <mergeCell ref="J225:K225"/>
    <mergeCell ref="B224:C224"/>
    <mergeCell ref="D224:E224"/>
    <mergeCell ref="F224:G224"/>
    <mergeCell ref="H224:I224"/>
    <mergeCell ref="J224:K224"/>
    <mergeCell ref="B223:C223"/>
    <mergeCell ref="D223:E223"/>
    <mergeCell ref="F223:G223"/>
    <mergeCell ref="H223:I223"/>
    <mergeCell ref="J223:K223"/>
    <mergeCell ref="B222:C222"/>
    <mergeCell ref="D222:E222"/>
    <mergeCell ref="F222:G222"/>
    <mergeCell ref="H222:I222"/>
    <mergeCell ref="J222:K222"/>
    <mergeCell ref="B221:C221"/>
    <mergeCell ref="D221:E221"/>
    <mergeCell ref="F221:G221"/>
    <mergeCell ref="H221:I221"/>
    <mergeCell ref="J221:K221"/>
    <mergeCell ref="B220:C220"/>
    <mergeCell ref="D220:E220"/>
    <mergeCell ref="F220:G220"/>
    <mergeCell ref="H220:I220"/>
    <mergeCell ref="J220:K220"/>
    <mergeCell ref="B219:C219"/>
    <mergeCell ref="D219:E219"/>
    <mergeCell ref="F219:G219"/>
    <mergeCell ref="H219:I219"/>
    <mergeCell ref="J219:K219"/>
    <mergeCell ref="B218:C218"/>
    <mergeCell ref="D218:E218"/>
    <mergeCell ref="F218:G218"/>
    <mergeCell ref="H218:I218"/>
    <mergeCell ref="J218:K218"/>
    <mergeCell ref="B217:C217"/>
    <mergeCell ref="D217:E217"/>
    <mergeCell ref="F217:G217"/>
    <mergeCell ref="H217:I217"/>
    <mergeCell ref="J217:K217"/>
    <mergeCell ref="B216:C216"/>
    <mergeCell ref="D216:E216"/>
    <mergeCell ref="F216:G216"/>
    <mergeCell ref="H216:I216"/>
    <mergeCell ref="J216:K216"/>
    <mergeCell ref="B215:C215"/>
    <mergeCell ref="D215:E215"/>
    <mergeCell ref="F215:G215"/>
    <mergeCell ref="H215:I215"/>
    <mergeCell ref="J215:K215"/>
    <mergeCell ref="B214:C214"/>
    <mergeCell ref="D214:E214"/>
    <mergeCell ref="F214:G214"/>
    <mergeCell ref="H214:I214"/>
    <mergeCell ref="J214:K214"/>
    <mergeCell ref="B213:C213"/>
    <mergeCell ref="D213:E213"/>
    <mergeCell ref="F213:G213"/>
    <mergeCell ref="H213:I213"/>
    <mergeCell ref="J213:K213"/>
    <mergeCell ref="B212:C212"/>
    <mergeCell ref="D212:E212"/>
    <mergeCell ref="F212:G212"/>
    <mergeCell ref="H212:I212"/>
    <mergeCell ref="J212:K212"/>
    <mergeCell ref="B211:C211"/>
    <mergeCell ref="D211:E211"/>
    <mergeCell ref="F211:G211"/>
    <mergeCell ref="H211:I211"/>
    <mergeCell ref="J211:K211"/>
    <mergeCell ref="B210:C210"/>
    <mergeCell ref="D210:E210"/>
    <mergeCell ref="F210:G210"/>
    <mergeCell ref="H210:I210"/>
    <mergeCell ref="J210:K210"/>
    <mergeCell ref="B209:C209"/>
    <mergeCell ref="D209:E209"/>
    <mergeCell ref="F209:G209"/>
    <mergeCell ref="H209:I209"/>
    <mergeCell ref="J209:K209"/>
    <mergeCell ref="B208:C208"/>
    <mergeCell ref="D208:E208"/>
    <mergeCell ref="F208:G208"/>
    <mergeCell ref="H208:I208"/>
    <mergeCell ref="J208:K208"/>
    <mergeCell ref="B207:C207"/>
    <mergeCell ref="D207:E207"/>
    <mergeCell ref="F207:G207"/>
    <mergeCell ref="H207:I207"/>
    <mergeCell ref="J207:K207"/>
    <mergeCell ref="B206:C206"/>
    <mergeCell ref="D206:E206"/>
    <mergeCell ref="F206:G206"/>
    <mergeCell ref="H206:I206"/>
    <mergeCell ref="J206:K206"/>
    <mergeCell ref="B205:C205"/>
    <mergeCell ref="D205:E205"/>
    <mergeCell ref="F205:G205"/>
    <mergeCell ref="H205:I205"/>
    <mergeCell ref="J205:K205"/>
    <mergeCell ref="B204:C204"/>
    <mergeCell ref="D204:E204"/>
    <mergeCell ref="F204:G204"/>
    <mergeCell ref="H204:I204"/>
    <mergeCell ref="J204:K204"/>
    <mergeCell ref="B203:C203"/>
    <mergeCell ref="D203:E203"/>
    <mergeCell ref="F203:G203"/>
    <mergeCell ref="H203:I203"/>
    <mergeCell ref="J203:K203"/>
    <mergeCell ref="B202:C202"/>
    <mergeCell ref="D202:E202"/>
    <mergeCell ref="F202:G202"/>
    <mergeCell ref="H202:I202"/>
    <mergeCell ref="J202:K202"/>
    <mergeCell ref="B201:C201"/>
    <mergeCell ref="D201:E201"/>
    <mergeCell ref="F201:G201"/>
    <mergeCell ref="H201:I201"/>
    <mergeCell ref="J201:K201"/>
    <mergeCell ref="B200:C200"/>
    <mergeCell ref="D200:E200"/>
    <mergeCell ref="F200:G200"/>
    <mergeCell ref="H200:I200"/>
    <mergeCell ref="J200:K200"/>
    <mergeCell ref="B199:C199"/>
    <mergeCell ref="D199:E199"/>
    <mergeCell ref="F199:G199"/>
    <mergeCell ref="H199:I199"/>
    <mergeCell ref="J199:K199"/>
    <mergeCell ref="B198:C198"/>
    <mergeCell ref="D198:E198"/>
    <mergeCell ref="F198:G198"/>
    <mergeCell ref="H198:I198"/>
    <mergeCell ref="J198:K198"/>
    <mergeCell ref="B197:C197"/>
    <mergeCell ref="D197:E197"/>
    <mergeCell ref="F197:G197"/>
    <mergeCell ref="H197:I197"/>
    <mergeCell ref="J197:K197"/>
    <mergeCell ref="B196:C196"/>
    <mergeCell ref="D196:E196"/>
    <mergeCell ref="F196:G196"/>
    <mergeCell ref="H196:I196"/>
    <mergeCell ref="J196:K196"/>
    <mergeCell ref="B195:C195"/>
    <mergeCell ref="D195:E195"/>
    <mergeCell ref="F195:G195"/>
    <mergeCell ref="H195:I195"/>
    <mergeCell ref="J195:K195"/>
    <mergeCell ref="B194:C194"/>
    <mergeCell ref="D194:E194"/>
    <mergeCell ref="F194:G194"/>
    <mergeCell ref="H194:I194"/>
    <mergeCell ref="J194:K194"/>
    <mergeCell ref="B193:C193"/>
    <mergeCell ref="D193:E193"/>
    <mergeCell ref="F193:G193"/>
    <mergeCell ref="H193:I193"/>
    <mergeCell ref="J193:K193"/>
    <mergeCell ref="B192:C192"/>
    <mergeCell ref="D192:E192"/>
    <mergeCell ref="F192:G192"/>
    <mergeCell ref="H192:I192"/>
    <mergeCell ref="J192:K192"/>
    <mergeCell ref="B191:C191"/>
    <mergeCell ref="D191:E191"/>
    <mergeCell ref="F191:G191"/>
    <mergeCell ref="H191:I191"/>
    <mergeCell ref="J191:K191"/>
    <mergeCell ref="B190:C190"/>
    <mergeCell ref="D190:E190"/>
    <mergeCell ref="F190:G190"/>
    <mergeCell ref="H190:I190"/>
    <mergeCell ref="J190:K190"/>
    <mergeCell ref="B189:C189"/>
    <mergeCell ref="D189:E189"/>
    <mergeCell ref="F189:G189"/>
    <mergeCell ref="H189:I189"/>
    <mergeCell ref="J189:K189"/>
    <mergeCell ref="B188:C188"/>
    <mergeCell ref="D188:E188"/>
    <mergeCell ref="F188:G188"/>
    <mergeCell ref="H188:I188"/>
    <mergeCell ref="J188:K188"/>
    <mergeCell ref="B187:C187"/>
    <mergeCell ref="D187:E187"/>
    <mergeCell ref="F187:G187"/>
    <mergeCell ref="H187:I187"/>
    <mergeCell ref="J187:K187"/>
    <mergeCell ref="B186:C186"/>
    <mergeCell ref="D186:E186"/>
    <mergeCell ref="F186:G186"/>
    <mergeCell ref="H186:I186"/>
    <mergeCell ref="J186:K186"/>
    <mergeCell ref="B185:C185"/>
    <mergeCell ref="D185:E185"/>
    <mergeCell ref="F185:G185"/>
    <mergeCell ref="H185:I185"/>
    <mergeCell ref="J185:K185"/>
    <mergeCell ref="B184:C184"/>
    <mergeCell ref="D184:E184"/>
    <mergeCell ref="F184:G184"/>
    <mergeCell ref="H184:I184"/>
    <mergeCell ref="J184:K184"/>
    <mergeCell ref="B183:C183"/>
    <mergeCell ref="D183:E183"/>
    <mergeCell ref="F183:G183"/>
    <mergeCell ref="H183:I183"/>
    <mergeCell ref="J183:K183"/>
    <mergeCell ref="B182:C182"/>
    <mergeCell ref="D182:E182"/>
    <mergeCell ref="F182:G182"/>
    <mergeCell ref="H182:I182"/>
    <mergeCell ref="J182:K182"/>
    <mergeCell ref="B181:C181"/>
    <mergeCell ref="D181:E181"/>
    <mergeCell ref="F181:G181"/>
    <mergeCell ref="H181:I181"/>
    <mergeCell ref="J181:K181"/>
    <mergeCell ref="B180:C180"/>
    <mergeCell ref="D180:E180"/>
    <mergeCell ref="F180:G180"/>
    <mergeCell ref="H180:I180"/>
    <mergeCell ref="J180:K180"/>
    <mergeCell ref="B179:C179"/>
    <mergeCell ref="D179:E179"/>
    <mergeCell ref="F179:G179"/>
    <mergeCell ref="H179:I179"/>
    <mergeCell ref="J179:K179"/>
    <mergeCell ref="B178:C178"/>
    <mergeCell ref="D178:E178"/>
    <mergeCell ref="F178:G178"/>
    <mergeCell ref="H178:I178"/>
    <mergeCell ref="J178:K178"/>
    <mergeCell ref="B177:C177"/>
    <mergeCell ref="D177:E177"/>
    <mergeCell ref="F177:G177"/>
    <mergeCell ref="H177:I177"/>
    <mergeCell ref="J177:K177"/>
    <mergeCell ref="B176:C176"/>
    <mergeCell ref="D176:E176"/>
    <mergeCell ref="F176:G176"/>
    <mergeCell ref="H176:I176"/>
    <mergeCell ref="J176:K176"/>
    <mergeCell ref="B175:C175"/>
    <mergeCell ref="D175:E175"/>
    <mergeCell ref="F175:G175"/>
    <mergeCell ref="H175:I175"/>
    <mergeCell ref="J175:K175"/>
    <mergeCell ref="B174:C174"/>
    <mergeCell ref="D174:E174"/>
    <mergeCell ref="F174:G174"/>
    <mergeCell ref="H174:I174"/>
    <mergeCell ref="J174:K174"/>
    <mergeCell ref="B173:C173"/>
    <mergeCell ref="D173:E173"/>
    <mergeCell ref="F173:G173"/>
    <mergeCell ref="H173:I173"/>
    <mergeCell ref="J173:K173"/>
    <mergeCell ref="B172:C172"/>
    <mergeCell ref="D172:E172"/>
    <mergeCell ref="F172:G172"/>
    <mergeCell ref="H172:I172"/>
    <mergeCell ref="J172:K172"/>
    <mergeCell ref="B171:C171"/>
    <mergeCell ref="D171:E171"/>
    <mergeCell ref="F171:G171"/>
    <mergeCell ref="H171:I171"/>
    <mergeCell ref="J171:K171"/>
    <mergeCell ref="B170:C170"/>
    <mergeCell ref="D170:E170"/>
    <mergeCell ref="F170:G170"/>
    <mergeCell ref="H170:I170"/>
    <mergeCell ref="J170:K170"/>
    <mergeCell ref="U168:V168"/>
    <mergeCell ref="B169:C169"/>
    <mergeCell ref="D169:E169"/>
    <mergeCell ref="F169:G169"/>
    <mergeCell ref="H169:I169"/>
    <mergeCell ref="J169:K169"/>
    <mergeCell ref="B168:C168"/>
    <mergeCell ref="D168:E168"/>
    <mergeCell ref="F168:G168"/>
    <mergeCell ref="H168:I168"/>
    <mergeCell ref="J168:K168"/>
    <mergeCell ref="O169:P169"/>
    <mergeCell ref="Q169:R169"/>
    <mergeCell ref="S169:T169"/>
    <mergeCell ref="U169:V169"/>
    <mergeCell ref="O168:P168"/>
    <mergeCell ref="Q168:R168"/>
    <mergeCell ref="S168:T168"/>
    <mergeCell ref="O171:P171"/>
    <mergeCell ref="Q171:R171"/>
    <mergeCell ref="S171:T171"/>
    <mergeCell ref="U171:V171"/>
    <mergeCell ref="B167:C167"/>
    <mergeCell ref="D167:E167"/>
    <mergeCell ref="F167:G167"/>
    <mergeCell ref="H167:I167"/>
    <mergeCell ref="J167:K167"/>
    <mergeCell ref="U167:V167"/>
    <mergeCell ref="U165:V165"/>
    <mergeCell ref="B166:C166"/>
    <mergeCell ref="D166:E166"/>
    <mergeCell ref="F166:G166"/>
    <mergeCell ref="H166:I166"/>
    <mergeCell ref="J166:K166"/>
    <mergeCell ref="U164:V164"/>
    <mergeCell ref="B165:C165"/>
    <mergeCell ref="D165:E165"/>
    <mergeCell ref="F165:G165"/>
    <mergeCell ref="H165:I165"/>
    <mergeCell ref="J165:K165"/>
    <mergeCell ref="B164:C164"/>
    <mergeCell ref="D164:E164"/>
    <mergeCell ref="F164:G164"/>
    <mergeCell ref="H164:I164"/>
    <mergeCell ref="J164:K164"/>
    <mergeCell ref="O165:P165"/>
    <mergeCell ref="Q165:R165"/>
    <mergeCell ref="S165:T165"/>
    <mergeCell ref="B163:C163"/>
    <mergeCell ref="D163:E163"/>
    <mergeCell ref="F163:G163"/>
    <mergeCell ref="H163:I163"/>
    <mergeCell ref="J163:K163"/>
    <mergeCell ref="U163:V163"/>
    <mergeCell ref="U161:V161"/>
    <mergeCell ref="B162:C162"/>
    <mergeCell ref="D162:E162"/>
    <mergeCell ref="F162:G162"/>
    <mergeCell ref="H162:I162"/>
    <mergeCell ref="J162:K162"/>
    <mergeCell ref="U160:V160"/>
    <mergeCell ref="B161:C161"/>
    <mergeCell ref="D161:E161"/>
    <mergeCell ref="F161:G161"/>
    <mergeCell ref="H161:I161"/>
    <mergeCell ref="J161:K161"/>
    <mergeCell ref="B160:C160"/>
    <mergeCell ref="D160:E160"/>
    <mergeCell ref="F160:G160"/>
    <mergeCell ref="H160:I160"/>
    <mergeCell ref="J160:K160"/>
    <mergeCell ref="O163:P163"/>
    <mergeCell ref="Q163:R163"/>
    <mergeCell ref="S163:T163"/>
    <mergeCell ref="O162:P162"/>
    <mergeCell ref="Q162:R162"/>
    <mergeCell ref="S162:T162"/>
    <mergeCell ref="B159:C159"/>
    <mergeCell ref="D159:E159"/>
    <mergeCell ref="F159:G159"/>
    <mergeCell ref="H159:I159"/>
    <mergeCell ref="J159:K159"/>
    <mergeCell ref="U159:V159"/>
    <mergeCell ref="U157:V157"/>
    <mergeCell ref="B158:C158"/>
    <mergeCell ref="D158:E158"/>
    <mergeCell ref="F158:G158"/>
    <mergeCell ref="H158:I158"/>
    <mergeCell ref="J158:K158"/>
    <mergeCell ref="U156:V156"/>
    <mergeCell ref="B157:C157"/>
    <mergeCell ref="D157:E157"/>
    <mergeCell ref="F157:G157"/>
    <mergeCell ref="H157:I157"/>
    <mergeCell ref="J157:K157"/>
    <mergeCell ref="B156:C156"/>
    <mergeCell ref="D156:E156"/>
    <mergeCell ref="F156:G156"/>
    <mergeCell ref="H156:I156"/>
    <mergeCell ref="J156:K156"/>
    <mergeCell ref="O159:P159"/>
    <mergeCell ref="Q159:R159"/>
    <mergeCell ref="S159:T159"/>
    <mergeCell ref="O157:P157"/>
    <mergeCell ref="Q157:R157"/>
    <mergeCell ref="S157:T157"/>
    <mergeCell ref="B155:C155"/>
    <mergeCell ref="D155:E155"/>
    <mergeCell ref="F155:G155"/>
    <mergeCell ref="H155:I155"/>
    <mergeCell ref="J155:K155"/>
    <mergeCell ref="U155:V155"/>
    <mergeCell ref="U153:V153"/>
    <mergeCell ref="B154:C154"/>
    <mergeCell ref="D154:E154"/>
    <mergeCell ref="F154:G154"/>
    <mergeCell ref="H154:I154"/>
    <mergeCell ref="J154:K154"/>
    <mergeCell ref="U152:V152"/>
    <mergeCell ref="B153:C153"/>
    <mergeCell ref="D153:E153"/>
    <mergeCell ref="F153:G153"/>
    <mergeCell ref="H153:I153"/>
    <mergeCell ref="J153:K153"/>
    <mergeCell ref="B152:C152"/>
    <mergeCell ref="D152:E152"/>
    <mergeCell ref="F152:G152"/>
    <mergeCell ref="H152:I152"/>
    <mergeCell ref="J152:K152"/>
    <mergeCell ref="O153:P153"/>
    <mergeCell ref="Q153:R153"/>
    <mergeCell ref="S153:T153"/>
    <mergeCell ref="B151:C151"/>
    <mergeCell ref="D151:E151"/>
    <mergeCell ref="F151:G151"/>
    <mergeCell ref="H151:I151"/>
    <mergeCell ref="J151:K151"/>
    <mergeCell ref="U151:V151"/>
    <mergeCell ref="U149:V149"/>
    <mergeCell ref="B150:C150"/>
    <mergeCell ref="D150:E150"/>
    <mergeCell ref="F150:G150"/>
    <mergeCell ref="H150:I150"/>
    <mergeCell ref="J150:K150"/>
    <mergeCell ref="U148:V148"/>
    <mergeCell ref="B149:C149"/>
    <mergeCell ref="D149:E149"/>
    <mergeCell ref="F149:G149"/>
    <mergeCell ref="H149:I149"/>
    <mergeCell ref="J149:K149"/>
    <mergeCell ref="B148:C148"/>
    <mergeCell ref="D148:E148"/>
    <mergeCell ref="F148:G148"/>
    <mergeCell ref="H148:I148"/>
    <mergeCell ref="J148:K148"/>
    <mergeCell ref="B147:C147"/>
    <mergeCell ref="D147:E147"/>
    <mergeCell ref="F147:G147"/>
    <mergeCell ref="H147:I147"/>
    <mergeCell ref="J147:K147"/>
    <mergeCell ref="U147:V147"/>
    <mergeCell ref="U145:V145"/>
    <mergeCell ref="B146:C146"/>
    <mergeCell ref="D146:E146"/>
    <mergeCell ref="F146:G146"/>
    <mergeCell ref="H146:I146"/>
    <mergeCell ref="J146:K146"/>
    <mergeCell ref="U144:V144"/>
    <mergeCell ref="B145:C145"/>
    <mergeCell ref="D145:E145"/>
    <mergeCell ref="F145:G145"/>
    <mergeCell ref="H145:I145"/>
    <mergeCell ref="J145:K145"/>
    <mergeCell ref="B144:C144"/>
    <mergeCell ref="D144:E144"/>
    <mergeCell ref="F144:G144"/>
    <mergeCell ref="H144:I144"/>
    <mergeCell ref="J144:K144"/>
    <mergeCell ref="O147:P147"/>
    <mergeCell ref="Q147:R147"/>
    <mergeCell ref="S147:T147"/>
    <mergeCell ref="B143:C143"/>
    <mergeCell ref="D143:E143"/>
    <mergeCell ref="F143:G143"/>
    <mergeCell ref="H143:I143"/>
    <mergeCell ref="J143:K143"/>
    <mergeCell ref="U143:V143"/>
    <mergeCell ref="U141:V141"/>
    <mergeCell ref="B142:C142"/>
    <mergeCell ref="D142:E142"/>
    <mergeCell ref="F142:G142"/>
    <mergeCell ref="H142:I142"/>
    <mergeCell ref="J142:K142"/>
    <mergeCell ref="U140:V140"/>
    <mergeCell ref="B141:C141"/>
    <mergeCell ref="D141:E141"/>
    <mergeCell ref="F141:G141"/>
    <mergeCell ref="H141:I141"/>
    <mergeCell ref="J141:K141"/>
    <mergeCell ref="B140:C140"/>
    <mergeCell ref="D140:E140"/>
    <mergeCell ref="F140:G140"/>
    <mergeCell ref="H140:I140"/>
    <mergeCell ref="J140:K140"/>
    <mergeCell ref="O141:P141"/>
    <mergeCell ref="Q141:R141"/>
    <mergeCell ref="S141:T141"/>
    <mergeCell ref="B139:C139"/>
    <mergeCell ref="D139:E139"/>
    <mergeCell ref="F139:G139"/>
    <mergeCell ref="H139:I139"/>
    <mergeCell ref="J139:K139"/>
    <mergeCell ref="U139:V139"/>
    <mergeCell ref="U137:V137"/>
    <mergeCell ref="B138:C138"/>
    <mergeCell ref="D138:E138"/>
    <mergeCell ref="F138:G138"/>
    <mergeCell ref="H138:I138"/>
    <mergeCell ref="J138:K138"/>
    <mergeCell ref="U136:V136"/>
    <mergeCell ref="B137:C137"/>
    <mergeCell ref="D137:E137"/>
    <mergeCell ref="F137:G137"/>
    <mergeCell ref="H137:I137"/>
    <mergeCell ref="J137:K137"/>
    <mergeCell ref="B136:C136"/>
    <mergeCell ref="D136:E136"/>
    <mergeCell ref="F136:G136"/>
    <mergeCell ref="H136:I136"/>
    <mergeCell ref="J136:K136"/>
    <mergeCell ref="B135:C135"/>
    <mergeCell ref="D135:E135"/>
    <mergeCell ref="F135:G135"/>
    <mergeCell ref="H135:I135"/>
    <mergeCell ref="J135:K135"/>
    <mergeCell ref="U135:V135"/>
    <mergeCell ref="U133:V133"/>
    <mergeCell ref="B134:C134"/>
    <mergeCell ref="D134:E134"/>
    <mergeCell ref="F134:G134"/>
    <mergeCell ref="H134:I134"/>
    <mergeCell ref="J134:K134"/>
    <mergeCell ref="U132:V132"/>
    <mergeCell ref="B133:C133"/>
    <mergeCell ref="D133:E133"/>
    <mergeCell ref="F133:G133"/>
    <mergeCell ref="H133:I133"/>
    <mergeCell ref="J133:K133"/>
    <mergeCell ref="B132:C132"/>
    <mergeCell ref="D132:E132"/>
    <mergeCell ref="F132:G132"/>
    <mergeCell ref="H132:I132"/>
    <mergeCell ref="J132:K132"/>
    <mergeCell ref="O135:P135"/>
    <mergeCell ref="Q135:R135"/>
    <mergeCell ref="S135:T135"/>
    <mergeCell ref="B131:C131"/>
    <mergeCell ref="D131:E131"/>
    <mergeCell ref="F131:G131"/>
    <mergeCell ref="H131:I131"/>
    <mergeCell ref="J131:K131"/>
    <mergeCell ref="U131:V131"/>
    <mergeCell ref="U129:V129"/>
    <mergeCell ref="B130:C130"/>
    <mergeCell ref="D130:E130"/>
    <mergeCell ref="F130:G130"/>
    <mergeCell ref="H130:I130"/>
    <mergeCell ref="J130:K130"/>
    <mergeCell ref="U128:V128"/>
    <mergeCell ref="B129:C129"/>
    <mergeCell ref="D129:E129"/>
    <mergeCell ref="F129:G129"/>
    <mergeCell ref="H129:I129"/>
    <mergeCell ref="J129:K129"/>
    <mergeCell ref="B128:C128"/>
    <mergeCell ref="D128:E128"/>
    <mergeCell ref="F128:G128"/>
    <mergeCell ref="H128:I128"/>
    <mergeCell ref="J128:K128"/>
    <mergeCell ref="O129:P129"/>
    <mergeCell ref="Q129:R129"/>
    <mergeCell ref="S129:T129"/>
    <mergeCell ref="B127:C127"/>
    <mergeCell ref="D127:E127"/>
    <mergeCell ref="F127:G127"/>
    <mergeCell ref="H127:I127"/>
    <mergeCell ref="J127:K127"/>
    <mergeCell ref="U127:V127"/>
    <mergeCell ref="U125:V125"/>
    <mergeCell ref="B126:C126"/>
    <mergeCell ref="D126:E126"/>
    <mergeCell ref="F126:G126"/>
    <mergeCell ref="H126:I126"/>
    <mergeCell ref="J126:K126"/>
    <mergeCell ref="U124:V124"/>
    <mergeCell ref="B125:C125"/>
    <mergeCell ref="D125:E125"/>
    <mergeCell ref="F125:G125"/>
    <mergeCell ref="H125:I125"/>
    <mergeCell ref="J125:K125"/>
    <mergeCell ref="B124:C124"/>
    <mergeCell ref="D124:E124"/>
    <mergeCell ref="F124:G124"/>
    <mergeCell ref="H124:I124"/>
    <mergeCell ref="J124:K124"/>
    <mergeCell ref="B123:C123"/>
    <mergeCell ref="D123:E123"/>
    <mergeCell ref="F123:G123"/>
    <mergeCell ref="H123:I123"/>
    <mergeCell ref="J123:K123"/>
    <mergeCell ref="U123:V123"/>
    <mergeCell ref="U121:V121"/>
    <mergeCell ref="B122:C122"/>
    <mergeCell ref="D122:E122"/>
    <mergeCell ref="F122:G122"/>
    <mergeCell ref="H122:I122"/>
    <mergeCell ref="J122:K122"/>
    <mergeCell ref="U120:V120"/>
    <mergeCell ref="B121:C121"/>
    <mergeCell ref="D121:E121"/>
    <mergeCell ref="F121:G121"/>
    <mergeCell ref="H121:I121"/>
    <mergeCell ref="J121:K121"/>
    <mergeCell ref="B120:C120"/>
    <mergeCell ref="D120:E120"/>
    <mergeCell ref="F120:G120"/>
    <mergeCell ref="H120:I120"/>
    <mergeCell ref="J120:K120"/>
    <mergeCell ref="O123:P123"/>
    <mergeCell ref="Q123:R123"/>
    <mergeCell ref="S123:T123"/>
    <mergeCell ref="B119:C119"/>
    <mergeCell ref="D119:E119"/>
    <mergeCell ref="F119:G119"/>
    <mergeCell ref="H119:I119"/>
    <mergeCell ref="J119:K119"/>
    <mergeCell ref="U119:V119"/>
    <mergeCell ref="U117:V117"/>
    <mergeCell ref="B118:C118"/>
    <mergeCell ref="D118:E118"/>
    <mergeCell ref="F118:G118"/>
    <mergeCell ref="H118:I118"/>
    <mergeCell ref="J118:K118"/>
    <mergeCell ref="U116:V116"/>
    <mergeCell ref="B117:C117"/>
    <mergeCell ref="D117:E117"/>
    <mergeCell ref="F117:G117"/>
    <mergeCell ref="H117:I117"/>
    <mergeCell ref="J117:K117"/>
    <mergeCell ref="B116:C116"/>
    <mergeCell ref="D116:E116"/>
    <mergeCell ref="F116:G116"/>
    <mergeCell ref="H116:I116"/>
    <mergeCell ref="J116:K116"/>
    <mergeCell ref="O117:P117"/>
    <mergeCell ref="Q117:R117"/>
    <mergeCell ref="S117:T117"/>
    <mergeCell ref="B115:C115"/>
    <mergeCell ref="D115:E115"/>
    <mergeCell ref="F115:G115"/>
    <mergeCell ref="H115:I115"/>
    <mergeCell ref="J115:K115"/>
    <mergeCell ref="U115:V115"/>
    <mergeCell ref="U113:V113"/>
    <mergeCell ref="B114:C114"/>
    <mergeCell ref="D114:E114"/>
    <mergeCell ref="F114:G114"/>
    <mergeCell ref="H114:I114"/>
    <mergeCell ref="J114:K114"/>
    <mergeCell ref="U112:V112"/>
    <mergeCell ref="B113:C113"/>
    <mergeCell ref="D113:E113"/>
    <mergeCell ref="F113:G113"/>
    <mergeCell ref="H113:I113"/>
    <mergeCell ref="J113:K113"/>
    <mergeCell ref="B112:C112"/>
    <mergeCell ref="D112:E112"/>
    <mergeCell ref="F112:G112"/>
    <mergeCell ref="H112:I112"/>
    <mergeCell ref="J112:K112"/>
    <mergeCell ref="B111:C111"/>
    <mergeCell ref="D111:E111"/>
    <mergeCell ref="F111:G111"/>
    <mergeCell ref="H111:I111"/>
    <mergeCell ref="J111:K111"/>
    <mergeCell ref="U111:V111"/>
    <mergeCell ref="U109:V109"/>
    <mergeCell ref="B110:C110"/>
    <mergeCell ref="D110:E110"/>
    <mergeCell ref="F110:G110"/>
    <mergeCell ref="H110:I110"/>
    <mergeCell ref="J110:K110"/>
    <mergeCell ref="U108:V108"/>
    <mergeCell ref="B109:C109"/>
    <mergeCell ref="D109:E109"/>
    <mergeCell ref="F109:G109"/>
    <mergeCell ref="H109:I109"/>
    <mergeCell ref="J109:K109"/>
    <mergeCell ref="B108:C108"/>
    <mergeCell ref="D108:E108"/>
    <mergeCell ref="F108:G108"/>
    <mergeCell ref="H108:I108"/>
    <mergeCell ref="J108:K108"/>
    <mergeCell ref="O111:P111"/>
    <mergeCell ref="Q111:R111"/>
    <mergeCell ref="S111:T111"/>
    <mergeCell ref="B107:C107"/>
    <mergeCell ref="D107:E107"/>
    <mergeCell ref="F107:G107"/>
    <mergeCell ref="H107:I107"/>
    <mergeCell ref="J107:K107"/>
    <mergeCell ref="U107:V107"/>
    <mergeCell ref="U105:V105"/>
    <mergeCell ref="B106:C106"/>
    <mergeCell ref="D106:E106"/>
    <mergeCell ref="F106:G106"/>
    <mergeCell ref="H106:I106"/>
    <mergeCell ref="J106:K106"/>
    <mergeCell ref="U104:V104"/>
    <mergeCell ref="B105:C105"/>
    <mergeCell ref="D105:E105"/>
    <mergeCell ref="F105:G105"/>
    <mergeCell ref="H105:I105"/>
    <mergeCell ref="J105:K105"/>
    <mergeCell ref="B104:C104"/>
    <mergeCell ref="D104:E104"/>
    <mergeCell ref="F104:G104"/>
    <mergeCell ref="H104:I104"/>
    <mergeCell ref="J104:K104"/>
    <mergeCell ref="O105:P105"/>
    <mergeCell ref="Q105:R105"/>
    <mergeCell ref="S105:T105"/>
    <mergeCell ref="B103:C103"/>
    <mergeCell ref="D103:E103"/>
    <mergeCell ref="F103:G103"/>
    <mergeCell ref="H103:I103"/>
    <mergeCell ref="J103:K103"/>
    <mergeCell ref="U103:V103"/>
    <mergeCell ref="U101:V101"/>
    <mergeCell ref="B102:C102"/>
    <mergeCell ref="D102:E102"/>
    <mergeCell ref="F102:G102"/>
    <mergeCell ref="H102:I102"/>
    <mergeCell ref="J102:K102"/>
    <mergeCell ref="U100:V100"/>
    <mergeCell ref="B101:C101"/>
    <mergeCell ref="D101:E101"/>
    <mergeCell ref="F101:G101"/>
    <mergeCell ref="H101:I101"/>
    <mergeCell ref="J101:K101"/>
    <mergeCell ref="B100:C100"/>
    <mergeCell ref="D100:E100"/>
    <mergeCell ref="F100:G100"/>
    <mergeCell ref="H100:I100"/>
    <mergeCell ref="J100:K100"/>
    <mergeCell ref="B99:C99"/>
    <mergeCell ref="D99:E99"/>
    <mergeCell ref="F99:G99"/>
    <mergeCell ref="H99:I99"/>
    <mergeCell ref="J99:K99"/>
    <mergeCell ref="U99:V99"/>
    <mergeCell ref="U97:V97"/>
    <mergeCell ref="B98:C98"/>
    <mergeCell ref="D98:E98"/>
    <mergeCell ref="F98:G98"/>
    <mergeCell ref="H98:I98"/>
    <mergeCell ref="J98:K98"/>
    <mergeCell ref="U96:V96"/>
    <mergeCell ref="B97:C97"/>
    <mergeCell ref="D97:E97"/>
    <mergeCell ref="F97:G97"/>
    <mergeCell ref="H97:I97"/>
    <mergeCell ref="J97:K97"/>
    <mergeCell ref="B96:C96"/>
    <mergeCell ref="D96:E96"/>
    <mergeCell ref="F96:G96"/>
    <mergeCell ref="H96:I96"/>
    <mergeCell ref="J96:K96"/>
    <mergeCell ref="O99:P99"/>
    <mergeCell ref="Q99:R99"/>
    <mergeCell ref="S99:T99"/>
    <mergeCell ref="B95:C95"/>
    <mergeCell ref="D95:E95"/>
    <mergeCell ref="F95:G95"/>
    <mergeCell ref="H95:I95"/>
    <mergeCell ref="J95:K95"/>
    <mergeCell ref="U95:V95"/>
    <mergeCell ref="U93:V93"/>
    <mergeCell ref="B94:C94"/>
    <mergeCell ref="D94:E94"/>
    <mergeCell ref="F94:G94"/>
    <mergeCell ref="H94:I94"/>
    <mergeCell ref="J94:K94"/>
    <mergeCell ref="U92:V92"/>
    <mergeCell ref="B93:C93"/>
    <mergeCell ref="D93:E93"/>
    <mergeCell ref="F93:G93"/>
    <mergeCell ref="H93:I93"/>
    <mergeCell ref="J93:K93"/>
    <mergeCell ref="B92:C92"/>
    <mergeCell ref="D92:E92"/>
    <mergeCell ref="F92:G92"/>
    <mergeCell ref="H92:I92"/>
    <mergeCell ref="J92:K92"/>
    <mergeCell ref="O93:P93"/>
    <mergeCell ref="Q93:R93"/>
    <mergeCell ref="S93:T93"/>
    <mergeCell ref="B91:C91"/>
    <mergeCell ref="D91:E91"/>
    <mergeCell ref="F91:G91"/>
    <mergeCell ref="H91:I91"/>
    <mergeCell ref="J91:K91"/>
    <mergeCell ref="U91:V91"/>
    <mergeCell ref="U89:V89"/>
    <mergeCell ref="B90:C90"/>
    <mergeCell ref="D90:E90"/>
    <mergeCell ref="F90:G90"/>
    <mergeCell ref="H90:I90"/>
    <mergeCell ref="J90:K90"/>
    <mergeCell ref="U88:V88"/>
    <mergeCell ref="B89:C89"/>
    <mergeCell ref="D89:E89"/>
    <mergeCell ref="F89:G89"/>
    <mergeCell ref="H89:I89"/>
    <mergeCell ref="J89:K89"/>
    <mergeCell ref="B88:C88"/>
    <mergeCell ref="D88:E88"/>
    <mergeCell ref="F88:G88"/>
    <mergeCell ref="H88:I88"/>
    <mergeCell ref="J88:K88"/>
    <mergeCell ref="B87:C87"/>
    <mergeCell ref="D87:E87"/>
    <mergeCell ref="F87:G87"/>
    <mergeCell ref="H87:I87"/>
    <mergeCell ref="J87:K87"/>
    <mergeCell ref="U87:V87"/>
    <mergeCell ref="U85:V85"/>
    <mergeCell ref="B86:C86"/>
    <mergeCell ref="D86:E86"/>
    <mergeCell ref="F86:G86"/>
    <mergeCell ref="H86:I86"/>
    <mergeCell ref="J86:K86"/>
    <mergeCell ref="U84:V84"/>
    <mergeCell ref="B85:C85"/>
    <mergeCell ref="D85:E85"/>
    <mergeCell ref="F85:G85"/>
    <mergeCell ref="H85:I85"/>
    <mergeCell ref="J85:K85"/>
    <mergeCell ref="B84:C84"/>
    <mergeCell ref="D84:E84"/>
    <mergeCell ref="F84:G84"/>
    <mergeCell ref="H84:I84"/>
    <mergeCell ref="J84:K84"/>
    <mergeCell ref="O87:P87"/>
    <mergeCell ref="Q87:R87"/>
    <mergeCell ref="S87:T87"/>
    <mergeCell ref="B83:C83"/>
    <mergeCell ref="D83:E83"/>
    <mergeCell ref="F83:G83"/>
    <mergeCell ref="H83:I83"/>
    <mergeCell ref="J83:K83"/>
    <mergeCell ref="U83:V83"/>
    <mergeCell ref="U81:V81"/>
    <mergeCell ref="B82:C82"/>
    <mergeCell ref="D82:E82"/>
    <mergeCell ref="F82:G82"/>
    <mergeCell ref="H82:I82"/>
    <mergeCell ref="J82:K82"/>
    <mergeCell ref="U80:V80"/>
    <mergeCell ref="B81:C81"/>
    <mergeCell ref="D81:E81"/>
    <mergeCell ref="F81:G81"/>
    <mergeCell ref="H81:I81"/>
    <mergeCell ref="J81:K81"/>
    <mergeCell ref="B80:C80"/>
    <mergeCell ref="D80:E80"/>
    <mergeCell ref="F80:G80"/>
    <mergeCell ref="H80:I80"/>
    <mergeCell ref="J80:K80"/>
    <mergeCell ref="O81:P81"/>
    <mergeCell ref="Q81:R81"/>
    <mergeCell ref="S81:T81"/>
    <mergeCell ref="B79:C79"/>
    <mergeCell ref="D79:E79"/>
    <mergeCell ref="F79:G79"/>
    <mergeCell ref="H79:I79"/>
    <mergeCell ref="J79:K79"/>
    <mergeCell ref="U79:V79"/>
    <mergeCell ref="U77:V77"/>
    <mergeCell ref="B78:C78"/>
    <mergeCell ref="D78:E78"/>
    <mergeCell ref="F78:G78"/>
    <mergeCell ref="H78:I78"/>
    <mergeCell ref="J78:K78"/>
    <mergeCell ref="U76:V76"/>
    <mergeCell ref="B77:C77"/>
    <mergeCell ref="D77:E77"/>
    <mergeCell ref="F77:G77"/>
    <mergeCell ref="H77:I77"/>
    <mergeCell ref="J77:K77"/>
    <mergeCell ref="B76:C76"/>
    <mergeCell ref="D76:E76"/>
    <mergeCell ref="F76:G76"/>
    <mergeCell ref="H76:I76"/>
    <mergeCell ref="J76:K76"/>
    <mergeCell ref="B75:C75"/>
    <mergeCell ref="D75:E75"/>
    <mergeCell ref="F75:G75"/>
    <mergeCell ref="H75:I75"/>
    <mergeCell ref="J75:K75"/>
    <mergeCell ref="U75:V75"/>
    <mergeCell ref="U73:V73"/>
    <mergeCell ref="B74:C74"/>
    <mergeCell ref="D74:E74"/>
    <mergeCell ref="F74:G74"/>
    <mergeCell ref="H74:I74"/>
    <mergeCell ref="J74:K74"/>
    <mergeCell ref="U72:V72"/>
    <mergeCell ref="B73:C73"/>
    <mergeCell ref="D73:E73"/>
    <mergeCell ref="F73:G73"/>
    <mergeCell ref="H73:I73"/>
    <mergeCell ref="J73:K73"/>
    <mergeCell ref="B72:C72"/>
    <mergeCell ref="D72:E72"/>
    <mergeCell ref="F72:G72"/>
    <mergeCell ref="H72:I72"/>
    <mergeCell ref="J72:K72"/>
    <mergeCell ref="O75:P75"/>
    <mergeCell ref="Q75:R75"/>
    <mergeCell ref="S75:T75"/>
    <mergeCell ref="B71:C71"/>
    <mergeCell ref="D71:E71"/>
    <mergeCell ref="F71:G71"/>
    <mergeCell ref="H71:I71"/>
    <mergeCell ref="J71:K71"/>
    <mergeCell ref="U71:V71"/>
    <mergeCell ref="U69:V69"/>
    <mergeCell ref="B70:C70"/>
    <mergeCell ref="D70:E70"/>
    <mergeCell ref="F70:G70"/>
    <mergeCell ref="H70:I70"/>
    <mergeCell ref="J70:K70"/>
    <mergeCell ref="U68:V68"/>
    <mergeCell ref="B69:C69"/>
    <mergeCell ref="D69:E69"/>
    <mergeCell ref="F69:G69"/>
    <mergeCell ref="H69:I69"/>
    <mergeCell ref="J69:K69"/>
    <mergeCell ref="B68:C68"/>
    <mergeCell ref="D68:E68"/>
    <mergeCell ref="F68:G68"/>
    <mergeCell ref="H68:I68"/>
    <mergeCell ref="J68:K68"/>
    <mergeCell ref="O69:P69"/>
    <mergeCell ref="Q69:R69"/>
    <mergeCell ref="S69:T69"/>
    <mergeCell ref="B67:C67"/>
    <mergeCell ref="D67:E67"/>
    <mergeCell ref="F67:G67"/>
    <mergeCell ref="H67:I67"/>
    <mergeCell ref="J67:K67"/>
    <mergeCell ref="U67:V67"/>
    <mergeCell ref="U65:V65"/>
    <mergeCell ref="B66:C66"/>
    <mergeCell ref="D66:E66"/>
    <mergeCell ref="F66:G66"/>
    <mergeCell ref="H66:I66"/>
    <mergeCell ref="J66:K66"/>
    <mergeCell ref="U64:V64"/>
    <mergeCell ref="B65:C65"/>
    <mergeCell ref="D65:E65"/>
    <mergeCell ref="F65:G65"/>
    <mergeCell ref="H65:I65"/>
    <mergeCell ref="J65:K65"/>
    <mergeCell ref="B64:C64"/>
    <mergeCell ref="D64:E64"/>
    <mergeCell ref="F64:G64"/>
    <mergeCell ref="H64:I64"/>
    <mergeCell ref="J64:K64"/>
    <mergeCell ref="B63:C63"/>
    <mergeCell ref="D63:E63"/>
    <mergeCell ref="F63:G63"/>
    <mergeCell ref="H63:I63"/>
    <mergeCell ref="J63:K63"/>
    <mergeCell ref="U63:V63"/>
    <mergeCell ref="U61:V61"/>
    <mergeCell ref="B62:C62"/>
    <mergeCell ref="D62:E62"/>
    <mergeCell ref="F62:G62"/>
    <mergeCell ref="H62:I62"/>
    <mergeCell ref="J62:K62"/>
    <mergeCell ref="U60:V60"/>
    <mergeCell ref="B61:C61"/>
    <mergeCell ref="D61:E61"/>
    <mergeCell ref="F61:G61"/>
    <mergeCell ref="H61:I61"/>
    <mergeCell ref="J61:K61"/>
    <mergeCell ref="B60:C60"/>
    <mergeCell ref="D60:E60"/>
    <mergeCell ref="F60:G60"/>
    <mergeCell ref="H60:I60"/>
    <mergeCell ref="J60:K60"/>
    <mergeCell ref="O63:P63"/>
    <mergeCell ref="Q63:R63"/>
    <mergeCell ref="S63:T63"/>
    <mergeCell ref="B59:C59"/>
    <mergeCell ref="D59:E59"/>
    <mergeCell ref="F59:G59"/>
    <mergeCell ref="H59:I59"/>
    <mergeCell ref="J59:K59"/>
    <mergeCell ref="U59:V59"/>
    <mergeCell ref="U57:V57"/>
    <mergeCell ref="B58:C58"/>
    <mergeCell ref="D58:E58"/>
    <mergeCell ref="F58:G58"/>
    <mergeCell ref="H58:I58"/>
    <mergeCell ref="J58:K58"/>
    <mergeCell ref="U56:V56"/>
    <mergeCell ref="B57:C57"/>
    <mergeCell ref="D57:E57"/>
    <mergeCell ref="F57:G57"/>
    <mergeCell ref="H57:I57"/>
    <mergeCell ref="J57:K57"/>
    <mergeCell ref="B56:C56"/>
    <mergeCell ref="D56:E56"/>
    <mergeCell ref="F56:G56"/>
    <mergeCell ref="H56:I56"/>
    <mergeCell ref="J56:K56"/>
    <mergeCell ref="O57:P57"/>
    <mergeCell ref="Q57:R57"/>
    <mergeCell ref="S57:T57"/>
    <mergeCell ref="B55:C55"/>
    <mergeCell ref="D55:E55"/>
    <mergeCell ref="F55:G55"/>
    <mergeCell ref="H55:I55"/>
    <mergeCell ref="J55:K55"/>
    <mergeCell ref="U55:V55"/>
    <mergeCell ref="U53:V53"/>
    <mergeCell ref="B54:C54"/>
    <mergeCell ref="D54:E54"/>
    <mergeCell ref="F54:G54"/>
    <mergeCell ref="H54:I54"/>
    <mergeCell ref="J54:K54"/>
    <mergeCell ref="U52:V52"/>
    <mergeCell ref="B53:C53"/>
    <mergeCell ref="D53:E53"/>
    <mergeCell ref="F53:G53"/>
    <mergeCell ref="H53:I53"/>
    <mergeCell ref="J53:K53"/>
    <mergeCell ref="B52:C52"/>
    <mergeCell ref="D52:E52"/>
    <mergeCell ref="F52:G52"/>
    <mergeCell ref="H52:I52"/>
    <mergeCell ref="J52:K52"/>
    <mergeCell ref="B51:C51"/>
    <mergeCell ref="D51:E51"/>
    <mergeCell ref="F51:G51"/>
    <mergeCell ref="H51:I51"/>
    <mergeCell ref="J51:K51"/>
    <mergeCell ref="U51:V51"/>
    <mergeCell ref="U49:V49"/>
    <mergeCell ref="B50:C50"/>
    <mergeCell ref="D50:E50"/>
    <mergeCell ref="F50:G50"/>
    <mergeCell ref="H50:I50"/>
    <mergeCell ref="J50:K50"/>
    <mergeCell ref="U48:V48"/>
    <mergeCell ref="B49:C49"/>
    <mergeCell ref="D49:E49"/>
    <mergeCell ref="F49:G49"/>
    <mergeCell ref="H49:I49"/>
    <mergeCell ref="J49:K49"/>
    <mergeCell ref="B48:C48"/>
    <mergeCell ref="D48:E48"/>
    <mergeCell ref="F48:G48"/>
    <mergeCell ref="H48:I48"/>
    <mergeCell ref="J48:K48"/>
    <mergeCell ref="O51:P51"/>
    <mergeCell ref="Q51:R51"/>
    <mergeCell ref="S51:T51"/>
    <mergeCell ref="B47:C47"/>
    <mergeCell ref="D47:E47"/>
    <mergeCell ref="F47:G47"/>
    <mergeCell ref="H47:I47"/>
    <mergeCell ref="J47:K47"/>
    <mergeCell ref="U47:V47"/>
    <mergeCell ref="U45:V45"/>
    <mergeCell ref="B46:C46"/>
    <mergeCell ref="D46:E46"/>
    <mergeCell ref="F46:G46"/>
    <mergeCell ref="H46:I46"/>
    <mergeCell ref="J46:K46"/>
    <mergeCell ref="U44:V44"/>
    <mergeCell ref="B45:C45"/>
    <mergeCell ref="D45:E45"/>
    <mergeCell ref="F45:G45"/>
    <mergeCell ref="H45:I45"/>
    <mergeCell ref="J45:K45"/>
    <mergeCell ref="B44:C44"/>
    <mergeCell ref="D44:E44"/>
    <mergeCell ref="F44:G44"/>
    <mergeCell ref="H44:I44"/>
    <mergeCell ref="J44:K44"/>
    <mergeCell ref="O45:P45"/>
    <mergeCell ref="Q45:R45"/>
    <mergeCell ref="S45:T45"/>
    <mergeCell ref="B43:C43"/>
    <mergeCell ref="D43:E43"/>
    <mergeCell ref="F43:G43"/>
    <mergeCell ref="H43:I43"/>
    <mergeCell ref="J43:K43"/>
    <mergeCell ref="U43:V43"/>
    <mergeCell ref="U41:V41"/>
    <mergeCell ref="B42:C42"/>
    <mergeCell ref="D42:E42"/>
    <mergeCell ref="F42:G42"/>
    <mergeCell ref="H42:I42"/>
    <mergeCell ref="J42:K42"/>
    <mergeCell ref="U40:V40"/>
    <mergeCell ref="B41:C41"/>
    <mergeCell ref="D41:E41"/>
    <mergeCell ref="F41:G41"/>
    <mergeCell ref="H41:I41"/>
    <mergeCell ref="J41:K41"/>
    <mergeCell ref="B40:C40"/>
    <mergeCell ref="D40:E40"/>
    <mergeCell ref="F40:G40"/>
    <mergeCell ref="H40:I40"/>
    <mergeCell ref="J40:K40"/>
    <mergeCell ref="B39:C39"/>
    <mergeCell ref="D39:E39"/>
    <mergeCell ref="F39:G39"/>
    <mergeCell ref="H39:I39"/>
    <mergeCell ref="J39:K39"/>
    <mergeCell ref="U39:V39"/>
    <mergeCell ref="U37:V37"/>
    <mergeCell ref="B38:C38"/>
    <mergeCell ref="D38:E38"/>
    <mergeCell ref="F38:G38"/>
    <mergeCell ref="H38:I38"/>
    <mergeCell ref="J38:K38"/>
    <mergeCell ref="U36:V36"/>
    <mergeCell ref="B37:C37"/>
    <mergeCell ref="D37:E37"/>
    <mergeCell ref="F37:G37"/>
    <mergeCell ref="H37:I37"/>
    <mergeCell ref="J37:K37"/>
    <mergeCell ref="B36:C36"/>
    <mergeCell ref="D36:E36"/>
    <mergeCell ref="F36:G36"/>
    <mergeCell ref="H36:I36"/>
    <mergeCell ref="J36:K36"/>
    <mergeCell ref="O39:P39"/>
    <mergeCell ref="Q39:R39"/>
    <mergeCell ref="S39:T39"/>
    <mergeCell ref="B35:C35"/>
    <mergeCell ref="D35:E35"/>
    <mergeCell ref="F35:G35"/>
    <mergeCell ref="H35:I35"/>
    <mergeCell ref="J35:K35"/>
    <mergeCell ref="U35:V35"/>
    <mergeCell ref="U33:V33"/>
    <mergeCell ref="B34:C34"/>
    <mergeCell ref="D34:E34"/>
    <mergeCell ref="F34:G34"/>
    <mergeCell ref="H34:I34"/>
    <mergeCell ref="J34:K34"/>
    <mergeCell ref="U32:V32"/>
    <mergeCell ref="B33:C33"/>
    <mergeCell ref="D33:E33"/>
    <mergeCell ref="F33:G33"/>
    <mergeCell ref="H33:I33"/>
    <mergeCell ref="J33:K33"/>
    <mergeCell ref="B32:C32"/>
    <mergeCell ref="D32:E32"/>
    <mergeCell ref="F32:G32"/>
    <mergeCell ref="H32:I32"/>
    <mergeCell ref="J32:K32"/>
    <mergeCell ref="O33:P33"/>
    <mergeCell ref="Q33:R33"/>
    <mergeCell ref="S33:T33"/>
    <mergeCell ref="B31:C31"/>
    <mergeCell ref="D31:E31"/>
    <mergeCell ref="F31:G31"/>
    <mergeCell ref="H31:I31"/>
    <mergeCell ref="J31:K31"/>
    <mergeCell ref="U31:V31"/>
    <mergeCell ref="U29:V29"/>
    <mergeCell ref="B30:C30"/>
    <mergeCell ref="D30:E30"/>
    <mergeCell ref="F30:G30"/>
    <mergeCell ref="H30:I30"/>
    <mergeCell ref="J30:K30"/>
    <mergeCell ref="U28:V28"/>
    <mergeCell ref="B29:C29"/>
    <mergeCell ref="D29:E29"/>
    <mergeCell ref="F29:G29"/>
    <mergeCell ref="H29:I29"/>
    <mergeCell ref="J29:K29"/>
    <mergeCell ref="B28:C28"/>
    <mergeCell ref="D28:E28"/>
    <mergeCell ref="F28:G28"/>
    <mergeCell ref="H28:I28"/>
    <mergeCell ref="J28:K28"/>
    <mergeCell ref="F21:G21"/>
    <mergeCell ref="H21:I21"/>
    <mergeCell ref="J21:K21"/>
    <mergeCell ref="B20:C20"/>
    <mergeCell ref="D20:E20"/>
    <mergeCell ref="F20:G20"/>
    <mergeCell ref="H20:I20"/>
    <mergeCell ref="J20:K20"/>
    <mergeCell ref="B27:C27"/>
    <mergeCell ref="D27:E27"/>
    <mergeCell ref="F27:G27"/>
    <mergeCell ref="H27:I27"/>
    <mergeCell ref="J27:K27"/>
    <mergeCell ref="U27:V27"/>
    <mergeCell ref="U25:V25"/>
    <mergeCell ref="B26:C26"/>
    <mergeCell ref="D26:E26"/>
    <mergeCell ref="F26:G26"/>
    <mergeCell ref="H26:I26"/>
    <mergeCell ref="J26:K26"/>
    <mergeCell ref="U24:V24"/>
    <mergeCell ref="B25:C25"/>
    <mergeCell ref="D25:E25"/>
    <mergeCell ref="F25:G25"/>
    <mergeCell ref="H25:I25"/>
    <mergeCell ref="J25:K25"/>
    <mergeCell ref="B24:C24"/>
    <mergeCell ref="D24:E24"/>
    <mergeCell ref="F24:G24"/>
    <mergeCell ref="H24:I24"/>
    <mergeCell ref="J24:K24"/>
    <mergeCell ref="O21:P21"/>
    <mergeCell ref="B19:C19"/>
    <mergeCell ref="D19:E19"/>
    <mergeCell ref="F19:G19"/>
    <mergeCell ref="H19:I19"/>
    <mergeCell ref="J19:K19"/>
    <mergeCell ref="F17:G18"/>
    <mergeCell ref="H17:I18"/>
    <mergeCell ref="J17:K18"/>
    <mergeCell ref="A10:X10"/>
    <mergeCell ref="A11:D12"/>
    <mergeCell ref="E11:X12"/>
    <mergeCell ref="A13:X13"/>
    <mergeCell ref="A14:K16"/>
    <mergeCell ref="L14:L218"/>
    <mergeCell ref="A17:A18"/>
    <mergeCell ref="B17:C18"/>
    <mergeCell ref="D17:E18"/>
    <mergeCell ref="B23:C23"/>
    <mergeCell ref="D23:E23"/>
    <mergeCell ref="F23:G23"/>
    <mergeCell ref="H23:I23"/>
    <mergeCell ref="J23:K23"/>
    <mergeCell ref="U23:V23"/>
    <mergeCell ref="U21:V21"/>
    <mergeCell ref="B22:C22"/>
    <mergeCell ref="D22:E22"/>
    <mergeCell ref="F22:G22"/>
    <mergeCell ref="H22:I22"/>
    <mergeCell ref="J22:K22"/>
    <mergeCell ref="U20:V20"/>
    <mergeCell ref="B21:C21"/>
    <mergeCell ref="D21:E21"/>
    <mergeCell ref="A8:E9"/>
    <mergeCell ref="F8:H9"/>
    <mergeCell ref="I8:M9"/>
    <mergeCell ref="N8:P9"/>
    <mergeCell ref="Q8:T9"/>
    <mergeCell ref="U8:X9"/>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s>
  <conditionalFormatting sqref="E11:X12">
    <cfRule type="dataBar" priority="7">
      <dataBar showValue="0">
        <cfvo type="num" val="0"/>
        <cfvo type="num" val="100"/>
        <color rgb="FF2D9D13"/>
      </dataBar>
      <extLst>
        <ext xmlns:x14="http://schemas.microsoft.com/office/spreadsheetml/2009/9/main" uri="{B025F937-C7B1-47D3-B67F-A62EFF666E3E}">
          <x14:id>{62EE5FC5-C6DB-4C12-B446-B052C264B86D}</x14:id>
        </ext>
      </extLst>
    </cfRule>
  </conditionalFormatting>
  <conditionalFormatting sqref="U8:X9">
    <cfRule type="cellIs" dxfId="61" priority="1" operator="greaterThan">
      <formula>0</formula>
    </cfRule>
    <cfRule type="cellIs" dxfId="60"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62EE5FC5-C6DB-4C12-B446-B052C264B86D}">
            <x14:dataBar minLength="0" maxLength="100" gradient="0">
              <x14:cfvo type="num">
                <xm:f>0</xm:f>
              </x14:cfvo>
              <x14:cfvo type="num">
                <xm:f>100</xm:f>
              </x14:cfvo>
              <x14:negativeFillColor rgb="FFFF0000"/>
              <x14:axisColor rgb="FF000000"/>
            </x14:dataBar>
          </x14:cfRule>
          <xm:sqref>E11:X12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
  <dimension ref="A1:AA263"/>
  <sheetViews>
    <sheetView showGridLines="0" zoomScale="70" zoomScaleNormal="70" workbookViewId="0">
      <selection activeCell="C1" sqref="C1:W3"/>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672</v>
      </c>
      <c r="B1" s="262"/>
      <c r="C1" s="313" t="str">
        <f>'Hisse İsimleri'!B2</f>
        <v>AKSA</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331</v>
      </c>
      <c r="G4" s="271"/>
      <c r="H4" s="272"/>
      <c r="I4" s="267" t="s">
        <v>13</v>
      </c>
      <c r="J4" s="268"/>
      <c r="K4" s="268"/>
      <c r="L4" s="268"/>
      <c r="M4" s="268"/>
      <c r="N4" s="275" t="e">
        <f>AVERAGE(T21:T170)</f>
        <v>#DIV/0!</v>
      </c>
      <c r="O4" s="275"/>
      <c r="P4" s="276"/>
      <c r="Q4" s="267" t="s">
        <v>673</v>
      </c>
      <c r="R4" s="268"/>
      <c r="S4" s="268"/>
      <c r="T4" s="268"/>
      <c r="U4" s="279">
        <f>F8*F4</f>
        <v>27638.5</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3000</v>
      </c>
      <c r="G6" s="208"/>
      <c r="H6" s="209"/>
      <c r="I6" s="269" t="s">
        <v>674</v>
      </c>
      <c r="J6" s="270"/>
      <c r="K6" s="270"/>
      <c r="L6" s="270"/>
      <c r="M6" s="270"/>
      <c r="N6" s="282">
        <f>U6/F4</f>
        <v>65.988329546827799</v>
      </c>
      <c r="O6" s="282"/>
      <c r="P6" s="284"/>
      <c r="Q6" s="269" t="s">
        <v>675</v>
      </c>
      <c r="R6" s="270"/>
      <c r="S6" s="270"/>
      <c r="T6" s="270"/>
      <c r="U6" s="282">
        <f>SUM(J21:K220)-SUM(U21:U170)</f>
        <v>21842.13708</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İsimleri'!D2</f>
        <v>83.5</v>
      </c>
      <c r="G8" s="282"/>
      <c r="H8" s="284"/>
      <c r="I8" s="269" t="s">
        <v>677</v>
      </c>
      <c r="J8" s="270"/>
      <c r="K8" s="270"/>
      <c r="L8" s="270"/>
      <c r="M8" s="270"/>
      <c r="N8" s="282">
        <f>SUM(U21:U170)</f>
        <v>0</v>
      </c>
      <c r="O8" s="282"/>
      <c r="P8" s="284"/>
      <c r="Q8" s="295" t="s">
        <v>678</v>
      </c>
      <c r="R8" s="296"/>
      <c r="S8" s="296"/>
      <c r="T8" s="297"/>
      <c r="U8" s="301">
        <f>SUM(H21:I220)</f>
        <v>43.597080000000005</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İsimleri'!E2</f>
        <v>-2.3399999999999997E-2</v>
      </c>
      <c r="G10" s="287"/>
      <c r="H10" s="288"/>
      <c r="I10" s="269" t="s">
        <v>710</v>
      </c>
      <c r="J10" s="270"/>
      <c r="K10" s="270"/>
      <c r="L10" s="270"/>
      <c r="M10" s="270"/>
      <c r="N10" s="291">
        <f>U10/U6</f>
        <v>0.26537526519360161</v>
      </c>
      <c r="O10" s="291"/>
      <c r="P10" s="292"/>
      <c r="Q10" s="295" t="s">
        <v>587</v>
      </c>
      <c r="R10" s="296"/>
      <c r="S10" s="296"/>
      <c r="T10" s="297"/>
      <c r="U10" s="301">
        <f>U4-U6</f>
        <v>5796.3629199999996</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11.033333333333333</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44.185000000000002</v>
      </c>
      <c r="E21" s="238"/>
      <c r="F21" s="239">
        <v>30</v>
      </c>
      <c r="G21" s="239"/>
      <c r="H21" s="307">
        <f>(D21*F21)*(2/1000)</f>
        <v>2.6511000000000005</v>
      </c>
      <c r="I21" s="308"/>
      <c r="J21" s="309">
        <f>D21*F21+H21</f>
        <v>1328.2011000000002</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0">
        <v>44682</v>
      </c>
      <c r="C22" s="252"/>
      <c r="D22" s="251">
        <v>46.78</v>
      </c>
      <c r="E22" s="251"/>
      <c r="F22" s="252">
        <v>15</v>
      </c>
      <c r="G22" s="252"/>
      <c r="H22" s="251">
        <f t="shared" ref="H22:H24" si="0">(D22*F22)*(2/1000)</f>
        <v>1.4034000000000002</v>
      </c>
      <c r="I22" s="251"/>
      <c r="J22" s="323">
        <f t="shared" ref="J22:J85" si="1">D22*F22+H22</f>
        <v>703.10340000000008</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59.35</v>
      </c>
      <c r="E23" s="238"/>
      <c r="F23" s="239">
        <v>35</v>
      </c>
      <c r="G23" s="239"/>
      <c r="H23" s="307">
        <f>(D23*F23)*(2/1000)</f>
        <v>4.1545000000000005</v>
      </c>
      <c r="I23" s="308"/>
      <c r="J23" s="309">
        <f t="shared" si="1"/>
        <v>2081.4045000000001</v>
      </c>
      <c r="K23" s="309"/>
      <c r="L23" s="343"/>
      <c r="M23" s="22">
        <v>3</v>
      </c>
      <c r="N23" s="239"/>
      <c r="O23" s="239"/>
      <c r="P23" s="238"/>
      <c r="Q23" s="238"/>
      <c r="R23" s="239"/>
      <c r="S23" s="239"/>
      <c r="T23" s="23"/>
      <c r="U23" s="256">
        <f t="shared" ref="U23:U85" si="2">P23+R23</f>
        <v>0</v>
      </c>
      <c r="V23" s="257"/>
      <c r="W23" s="327"/>
      <c r="X23" s="328"/>
    </row>
    <row r="24" spans="1:24" ht="22.5" customHeight="1" x14ac:dyDescent="0.25">
      <c r="A24" s="14">
        <v>4</v>
      </c>
      <c r="B24" s="250">
        <v>44743</v>
      </c>
      <c r="C24" s="252"/>
      <c r="D24" s="251">
        <v>57.9</v>
      </c>
      <c r="E24" s="251"/>
      <c r="F24" s="252">
        <v>20</v>
      </c>
      <c r="G24" s="252"/>
      <c r="H24" s="251">
        <f t="shared" si="0"/>
        <v>2.3159999999999998</v>
      </c>
      <c r="I24" s="251"/>
      <c r="J24" s="323">
        <f t="shared" si="1"/>
        <v>1160.316</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57.37</v>
      </c>
      <c r="E25" s="238"/>
      <c r="F25" s="239">
        <v>40</v>
      </c>
      <c r="G25" s="239"/>
      <c r="H25" s="307">
        <f>(D25*F25)*(2/1000)</f>
        <v>4.5895999999999999</v>
      </c>
      <c r="I25" s="308"/>
      <c r="J25" s="309">
        <f t="shared" si="1"/>
        <v>2299.3895999999995</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56.83</v>
      </c>
      <c r="E26" s="251"/>
      <c r="F26" s="252">
        <v>20</v>
      </c>
      <c r="G26" s="252"/>
      <c r="H26" s="251">
        <f t="shared" ref="H26:H30" si="3">(D26*F26)*(2/1000)</f>
        <v>2.2731999999999997</v>
      </c>
      <c r="I26" s="251"/>
      <c r="J26" s="323">
        <f t="shared" si="1"/>
        <v>1138.8732</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69.7</v>
      </c>
      <c r="E27" s="238"/>
      <c r="F27" s="239">
        <v>20</v>
      </c>
      <c r="G27" s="239"/>
      <c r="H27" s="307">
        <f>(D27*F27)*(2/1000)</f>
        <v>2.7880000000000003</v>
      </c>
      <c r="I27" s="308"/>
      <c r="J27" s="309">
        <f t="shared" si="1"/>
        <v>1396.788</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78.900000000000006</v>
      </c>
      <c r="E28" s="251"/>
      <c r="F28" s="252">
        <v>30</v>
      </c>
      <c r="G28" s="252"/>
      <c r="H28" s="251">
        <f t="shared" si="3"/>
        <v>4.734</v>
      </c>
      <c r="I28" s="251"/>
      <c r="J28" s="323">
        <f t="shared" si="1"/>
        <v>2371.7339999999999</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89.14</v>
      </c>
      <c r="E29" s="238"/>
      <c r="F29" s="239">
        <v>18</v>
      </c>
      <c r="G29" s="239"/>
      <c r="H29" s="307">
        <f>(D29*F29)*(2/1000)</f>
        <v>3.2090399999999999</v>
      </c>
      <c r="I29" s="308"/>
      <c r="J29" s="309">
        <f t="shared" si="1"/>
        <v>1607.7290399999999</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75.56</v>
      </c>
      <c r="E30" s="251"/>
      <c r="F30" s="252">
        <v>70</v>
      </c>
      <c r="G30" s="252"/>
      <c r="H30" s="251">
        <f t="shared" si="3"/>
        <v>10.5784</v>
      </c>
      <c r="I30" s="251"/>
      <c r="J30" s="323">
        <f t="shared" si="1"/>
        <v>5299.7784000000001</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74.239999999999995</v>
      </c>
      <c r="E31" s="238"/>
      <c r="F31" s="239">
        <v>33</v>
      </c>
      <c r="G31" s="239"/>
      <c r="H31" s="238">
        <f t="shared" ref="H31" si="4">(D31*F31)*(2/1000)</f>
        <v>4.8998399999999993</v>
      </c>
      <c r="I31" s="238"/>
      <c r="J31" s="309">
        <f t="shared" si="1"/>
        <v>2454.8198399999997</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2"/>
      <c r="C32" s="252"/>
      <c r="D32" s="251"/>
      <c r="E32" s="251"/>
      <c r="F32" s="252"/>
      <c r="G32" s="252"/>
      <c r="H32" s="251"/>
      <c r="I32" s="251"/>
      <c r="J32" s="323">
        <f t="shared" si="1"/>
        <v>0</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5">D86*F86+H86</f>
        <v>0</v>
      </c>
      <c r="K86" s="324"/>
      <c r="L86" s="343"/>
      <c r="M86" s="15">
        <v>66</v>
      </c>
      <c r="N86" s="260"/>
      <c r="O86" s="260"/>
      <c r="P86" s="259"/>
      <c r="Q86" s="259"/>
      <c r="R86" s="260"/>
      <c r="S86" s="260"/>
      <c r="T86" s="24"/>
      <c r="U86" s="340">
        <f t="shared" ref="U86:U149" si="6">P86+R86</f>
        <v>0</v>
      </c>
      <c r="V86" s="341"/>
      <c r="W86"/>
      <c r="X86"/>
    </row>
    <row r="87" spans="1:24" ht="22.5" customHeight="1" x14ac:dyDescent="0.25">
      <c r="A87" s="22">
        <v>67</v>
      </c>
      <c r="B87" s="239"/>
      <c r="C87" s="239"/>
      <c r="D87" s="238"/>
      <c r="E87" s="238"/>
      <c r="F87" s="239"/>
      <c r="G87" s="239"/>
      <c r="H87" s="238"/>
      <c r="I87" s="238"/>
      <c r="J87" s="309">
        <f t="shared" si="5"/>
        <v>0</v>
      </c>
      <c r="K87" s="309"/>
      <c r="L87" s="343"/>
      <c r="M87" s="22">
        <v>67</v>
      </c>
      <c r="N87" s="239"/>
      <c r="O87" s="239"/>
      <c r="P87" s="238"/>
      <c r="Q87" s="238"/>
      <c r="R87" s="239"/>
      <c r="S87" s="239"/>
      <c r="T87" s="23"/>
      <c r="U87" s="256">
        <f t="shared" si="6"/>
        <v>0</v>
      </c>
      <c r="V87" s="257"/>
      <c r="W87"/>
      <c r="X87"/>
    </row>
    <row r="88" spans="1:24" ht="22.5" customHeight="1" x14ac:dyDescent="0.25">
      <c r="A88" s="14">
        <v>68</v>
      </c>
      <c r="B88" s="252"/>
      <c r="C88" s="252"/>
      <c r="D88" s="251"/>
      <c r="E88" s="251"/>
      <c r="F88" s="252"/>
      <c r="G88" s="252"/>
      <c r="H88" s="251"/>
      <c r="I88" s="251"/>
      <c r="J88" s="323">
        <f t="shared" si="5"/>
        <v>0</v>
      </c>
      <c r="K88" s="324"/>
      <c r="L88" s="343"/>
      <c r="M88" s="15">
        <v>68</v>
      </c>
      <c r="N88" s="260"/>
      <c r="O88" s="260"/>
      <c r="P88" s="259"/>
      <c r="Q88" s="259"/>
      <c r="R88" s="260"/>
      <c r="S88" s="260"/>
      <c r="T88" s="24"/>
      <c r="U88" s="340">
        <f t="shared" si="6"/>
        <v>0</v>
      </c>
      <c r="V88" s="341"/>
      <c r="W88"/>
      <c r="X88"/>
    </row>
    <row r="89" spans="1:24" ht="22.5" customHeight="1" x14ac:dyDescent="0.25">
      <c r="A89" s="22">
        <v>69</v>
      </c>
      <c r="B89" s="239"/>
      <c r="C89" s="239"/>
      <c r="D89" s="238"/>
      <c r="E89" s="238"/>
      <c r="F89" s="239"/>
      <c r="G89" s="239"/>
      <c r="H89" s="238"/>
      <c r="I89" s="238"/>
      <c r="J89" s="309">
        <f t="shared" si="5"/>
        <v>0</v>
      </c>
      <c r="K89" s="309"/>
      <c r="L89" s="343"/>
      <c r="M89" s="22">
        <v>69</v>
      </c>
      <c r="N89" s="239"/>
      <c r="O89" s="239"/>
      <c r="P89" s="238"/>
      <c r="Q89" s="238"/>
      <c r="R89" s="239"/>
      <c r="S89" s="239"/>
      <c r="T89" s="23"/>
      <c r="U89" s="256">
        <f t="shared" si="6"/>
        <v>0</v>
      </c>
      <c r="V89" s="257"/>
      <c r="W89"/>
      <c r="X89"/>
    </row>
    <row r="90" spans="1:24" ht="22.5" customHeight="1" x14ac:dyDescent="0.25">
      <c r="A90" s="14">
        <v>70</v>
      </c>
      <c r="B90" s="252"/>
      <c r="C90" s="252"/>
      <c r="D90" s="251"/>
      <c r="E90" s="251"/>
      <c r="F90" s="252"/>
      <c r="G90" s="252"/>
      <c r="H90" s="251"/>
      <c r="I90" s="251"/>
      <c r="J90" s="323">
        <f t="shared" si="5"/>
        <v>0</v>
      </c>
      <c r="K90" s="324"/>
      <c r="L90" s="343"/>
      <c r="M90" s="15">
        <v>70</v>
      </c>
      <c r="N90" s="260"/>
      <c r="O90" s="260"/>
      <c r="P90" s="259"/>
      <c r="Q90" s="259"/>
      <c r="R90" s="260"/>
      <c r="S90" s="260"/>
      <c r="T90" s="24"/>
      <c r="U90" s="340">
        <f t="shared" si="6"/>
        <v>0</v>
      </c>
      <c r="V90" s="341"/>
      <c r="W90"/>
      <c r="X90"/>
    </row>
    <row r="91" spans="1:24" ht="22.5" customHeight="1" x14ac:dyDescent="0.25">
      <c r="A91" s="22">
        <v>71</v>
      </c>
      <c r="B91" s="239"/>
      <c r="C91" s="239"/>
      <c r="D91" s="238"/>
      <c r="E91" s="238"/>
      <c r="F91" s="239"/>
      <c r="G91" s="239"/>
      <c r="H91" s="238"/>
      <c r="I91" s="238"/>
      <c r="J91" s="309">
        <f t="shared" si="5"/>
        <v>0</v>
      </c>
      <c r="K91" s="309"/>
      <c r="L91" s="343"/>
      <c r="M91" s="22">
        <v>71</v>
      </c>
      <c r="N91" s="239"/>
      <c r="O91" s="239"/>
      <c r="P91" s="238"/>
      <c r="Q91" s="238"/>
      <c r="R91" s="239"/>
      <c r="S91" s="239"/>
      <c r="T91" s="23"/>
      <c r="U91" s="256">
        <f t="shared" si="6"/>
        <v>0</v>
      </c>
      <c r="V91" s="257"/>
      <c r="W91"/>
      <c r="X91"/>
    </row>
    <row r="92" spans="1:24" ht="22.5" customHeight="1" x14ac:dyDescent="0.25">
      <c r="A92" s="14">
        <v>72</v>
      </c>
      <c r="B92" s="252"/>
      <c r="C92" s="252"/>
      <c r="D92" s="251"/>
      <c r="E92" s="251"/>
      <c r="F92" s="252"/>
      <c r="G92" s="252"/>
      <c r="H92" s="251"/>
      <c r="I92" s="251"/>
      <c r="J92" s="323">
        <f t="shared" si="5"/>
        <v>0</v>
      </c>
      <c r="K92" s="324"/>
      <c r="L92" s="343"/>
      <c r="M92" s="15">
        <v>72</v>
      </c>
      <c r="N92" s="260"/>
      <c r="O92" s="260"/>
      <c r="P92" s="259"/>
      <c r="Q92" s="259"/>
      <c r="R92" s="260"/>
      <c r="S92" s="260"/>
      <c r="T92" s="24"/>
      <c r="U92" s="340">
        <f t="shared" si="6"/>
        <v>0</v>
      </c>
      <c r="V92" s="341"/>
      <c r="W92"/>
      <c r="X92"/>
    </row>
    <row r="93" spans="1:24" ht="22.5" customHeight="1" x14ac:dyDescent="0.25">
      <c r="A93" s="22">
        <v>73</v>
      </c>
      <c r="B93" s="239"/>
      <c r="C93" s="239"/>
      <c r="D93" s="238"/>
      <c r="E93" s="238"/>
      <c r="F93" s="239"/>
      <c r="G93" s="239"/>
      <c r="H93" s="238"/>
      <c r="I93" s="238"/>
      <c r="J93" s="309">
        <f t="shared" si="5"/>
        <v>0</v>
      </c>
      <c r="K93" s="309"/>
      <c r="L93" s="343"/>
      <c r="M93" s="22">
        <v>73</v>
      </c>
      <c r="N93" s="239"/>
      <c r="O93" s="239"/>
      <c r="P93" s="238"/>
      <c r="Q93" s="238"/>
      <c r="R93" s="239"/>
      <c r="S93" s="239"/>
      <c r="T93" s="23"/>
      <c r="U93" s="256">
        <f t="shared" si="6"/>
        <v>0</v>
      </c>
      <c r="V93" s="257"/>
      <c r="W93"/>
      <c r="X93"/>
    </row>
    <row r="94" spans="1:24" ht="22.5" customHeight="1" x14ac:dyDescent="0.25">
      <c r="A94" s="14">
        <v>74</v>
      </c>
      <c r="B94" s="252"/>
      <c r="C94" s="252"/>
      <c r="D94" s="251"/>
      <c r="E94" s="251"/>
      <c r="F94" s="252"/>
      <c r="G94" s="252"/>
      <c r="H94" s="251"/>
      <c r="I94" s="251"/>
      <c r="J94" s="323">
        <f t="shared" si="5"/>
        <v>0</v>
      </c>
      <c r="K94" s="324"/>
      <c r="L94" s="343"/>
      <c r="M94" s="15">
        <v>74</v>
      </c>
      <c r="N94" s="260"/>
      <c r="O94" s="260"/>
      <c r="P94" s="259"/>
      <c r="Q94" s="259"/>
      <c r="R94" s="260"/>
      <c r="S94" s="260"/>
      <c r="T94" s="24"/>
      <c r="U94" s="340">
        <f t="shared" si="6"/>
        <v>0</v>
      </c>
      <c r="V94" s="341"/>
      <c r="W94"/>
      <c r="X94"/>
    </row>
    <row r="95" spans="1:24" ht="22.5" customHeight="1" x14ac:dyDescent="0.25">
      <c r="A95" s="22">
        <v>75</v>
      </c>
      <c r="B95" s="239"/>
      <c r="C95" s="239"/>
      <c r="D95" s="238"/>
      <c r="E95" s="238"/>
      <c r="F95" s="239"/>
      <c r="G95" s="239"/>
      <c r="H95" s="238"/>
      <c r="I95" s="238"/>
      <c r="J95" s="309">
        <f t="shared" si="5"/>
        <v>0</v>
      </c>
      <c r="K95" s="309"/>
      <c r="L95" s="343"/>
      <c r="M95" s="22">
        <v>75</v>
      </c>
      <c r="N95" s="239"/>
      <c r="O95" s="239"/>
      <c r="P95" s="238"/>
      <c r="Q95" s="238"/>
      <c r="R95" s="239"/>
      <c r="S95" s="239"/>
      <c r="T95" s="23"/>
      <c r="U95" s="256">
        <f t="shared" si="6"/>
        <v>0</v>
      </c>
      <c r="V95" s="257"/>
      <c r="W95"/>
      <c r="X95"/>
    </row>
    <row r="96" spans="1:24" ht="22.5" customHeight="1" x14ac:dyDescent="0.25">
      <c r="A96" s="14">
        <v>76</v>
      </c>
      <c r="B96" s="252"/>
      <c r="C96" s="252"/>
      <c r="D96" s="251"/>
      <c r="E96" s="251"/>
      <c r="F96" s="252"/>
      <c r="G96" s="252"/>
      <c r="H96" s="251"/>
      <c r="I96" s="251"/>
      <c r="J96" s="323">
        <f t="shared" si="5"/>
        <v>0</v>
      </c>
      <c r="K96" s="324"/>
      <c r="L96" s="343"/>
      <c r="M96" s="15">
        <v>76</v>
      </c>
      <c r="N96" s="260"/>
      <c r="O96" s="260"/>
      <c r="P96" s="259"/>
      <c r="Q96" s="259"/>
      <c r="R96" s="260"/>
      <c r="S96" s="260"/>
      <c r="T96" s="24"/>
      <c r="U96" s="340">
        <f t="shared" si="6"/>
        <v>0</v>
      </c>
      <c r="V96" s="341"/>
      <c r="W96"/>
      <c r="X96"/>
    </row>
    <row r="97" spans="1:24" ht="22.5" customHeight="1" x14ac:dyDescent="0.25">
      <c r="A97" s="22">
        <v>77</v>
      </c>
      <c r="B97" s="239"/>
      <c r="C97" s="239"/>
      <c r="D97" s="238"/>
      <c r="E97" s="238"/>
      <c r="F97" s="239"/>
      <c r="G97" s="239"/>
      <c r="H97" s="238"/>
      <c r="I97" s="238"/>
      <c r="J97" s="309">
        <f t="shared" si="5"/>
        <v>0</v>
      </c>
      <c r="K97" s="309"/>
      <c r="L97" s="343"/>
      <c r="M97" s="22">
        <v>77</v>
      </c>
      <c r="N97" s="239"/>
      <c r="O97" s="239"/>
      <c r="P97" s="238"/>
      <c r="Q97" s="238"/>
      <c r="R97" s="239"/>
      <c r="S97" s="239"/>
      <c r="T97" s="23"/>
      <c r="U97" s="256">
        <f t="shared" si="6"/>
        <v>0</v>
      </c>
      <c r="V97" s="257"/>
      <c r="W97"/>
      <c r="X97"/>
    </row>
    <row r="98" spans="1:24" ht="22.5" customHeight="1" x14ac:dyDescent="0.25">
      <c r="A98" s="14">
        <v>78</v>
      </c>
      <c r="B98" s="252"/>
      <c r="C98" s="252"/>
      <c r="D98" s="251"/>
      <c r="E98" s="251"/>
      <c r="F98" s="252"/>
      <c r="G98" s="252"/>
      <c r="H98" s="251"/>
      <c r="I98" s="251"/>
      <c r="J98" s="323">
        <f t="shared" si="5"/>
        <v>0</v>
      </c>
      <c r="K98" s="324"/>
      <c r="L98" s="343"/>
      <c r="M98" s="15">
        <v>78</v>
      </c>
      <c r="N98" s="260"/>
      <c r="O98" s="260"/>
      <c r="P98" s="259"/>
      <c r="Q98" s="259"/>
      <c r="R98" s="260"/>
      <c r="S98" s="260"/>
      <c r="T98" s="24"/>
      <c r="U98" s="340">
        <f t="shared" si="6"/>
        <v>0</v>
      </c>
      <c r="V98" s="341"/>
      <c r="W98"/>
      <c r="X98"/>
    </row>
    <row r="99" spans="1:24" ht="22.5" customHeight="1" x14ac:dyDescent="0.25">
      <c r="A99" s="22">
        <v>79</v>
      </c>
      <c r="B99" s="239"/>
      <c r="C99" s="239"/>
      <c r="D99" s="238"/>
      <c r="E99" s="238"/>
      <c r="F99" s="239"/>
      <c r="G99" s="239"/>
      <c r="H99" s="238"/>
      <c r="I99" s="238"/>
      <c r="J99" s="309">
        <f t="shared" si="5"/>
        <v>0</v>
      </c>
      <c r="K99" s="309"/>
      <c r="L99" s="343"/>
      <c r="M99" s="22">
        <v>79</v>
      </c>
      <c r="N99" s="239"/>
      <c r="O99" s="239"/>
      <c r="P99" s="238"/>
      <c r="Q99" s="238"/>
      <c r="R99" s="239"/>
      <c r="S99" s="239"/>
      <c r="T99" s="23"/>
      <c r="U99" s="256">
        <f t="shared" si="6"/>
        <v>0</v>
      </c>
      <c r="V99" s="257"/>
      <c r="W99"/>
      <c r="X99"/>
    </row>
    <row r="100" spans="1:24" ht="22.5" customHeight="1" x14ac:dyDescent="0.25">
      <c r="A100" s="14">
        <v>80</v>
      </c>
      <c r="B100" s="252"/>
      <c r="C100" s="252"/>
      <c r="D100" s="251"/>
      <c r="E100" s="251"/>
      <c r="F100" s="252"/>
      <c r="G100" s="252"/>
      <c r="H100" s="251"/>
      <c r="I100" s="251"/>
      <c r="J100" s="323">
        <f t="shared" si="5"/>
        <v>0</v>
      </c>
      <c r="K100" s="324"/>
      <c r="L100" s="343"/>
      <c r="M100" s="15">
        <v>80</v>
      </c>
      <c r="N100" s="260"/>
      <c r="O100" s="260"/>
      <c r="P100" s="259"/>
      <c r="Q100" s="259"/>
      <c r="R100" s="260"/>
      <c r="S100" s="260"/>
      <c r="T100" s="24"/>
      <c r="U100" s="340">
        <f t="shared" si="6"/>
        <v>0</v>
      </c>
      <c r="V100" s="341"/>
      <c r="W100"/>
      <c r="X100"/>
    </row>
    <row r="101" spans="1:24" ht="22.5" customHeight="1" x14ac:dyDescent="0.25">
      <c r="A101" s="22">
        <v>81</v>
      </c>
      <c r="B101" s="239"/>
      <c r="C101" s="239"/>
      <c r="D101" s="238"/>
      <c r="E101" s="238"/>
      <c r="F101" s="239"/>
      <c r="G101" s="239"/>
      <c r="H101" s="238"/>
      <c r="I101" s="238"/>
      <c r="J101" s="309">
        <f t="shared" si="5"/>
        <v>0</v>
      </c>
      <c r="K101" s="309"/>
      <c r="L101" s="343"/>
      <c r="M101" s="22">
        <v>81</v>
      </c>
      <c r="N101" s="239"/>
      <c r="O101" s="239"/>
      <c r="P101" s="238"/>
      <c r="Q101" s="238"/>
      <c r="R101" s="239"/>
      <c r="S101" s="239"/>
      <c r="T101" s="23"/>
      <c r="U101" s="256">
        <f t="shared" si="6"/>
        <v>0</v>
      </c>
      <c r="V101" s="257"/>
      <c r="W101"/>
      <c r="X101"/>
    </row>
    <row r="102" spans="1:24" ht="22.5" customHeight="1" x14ac:dyDescent="0.25">
      <c r="A102" s="14">
        <v>82</v>
      </c>
      <c r="B102" s="252"/>
      <c r="C102" s="252"/>
      <c r="D102" s="251"/>
      <c r="E102" s="251"/>
      <c r="F102" s="252"/>
      <c r="G102" s="252"/>
      <c r="H102" s="251"/>
      <c r="I102" s="251"/>
      <c r="J102" s="323">
        <f t="shared" si="5"/>
        <v>0</v>
      </c>
      <c r="K102" s="324"/>
      <c r="L102" s="343"/>
      <c r="M102" s="15">
        <v>82</v>
      </c>
      <c r="N102" s="260"/>
      <c r="O102" s="260"/>
      <c r="P102" s="259"/>
      <c r="Q102" s="259"/>
      <c r="R102" s="260"/>
      <c r="S102" s="260"/>
      <c r="T102" s="24"/>
      <c r="U102" s="340">
        <f t="shared" si="6"/>
        <v>0</v>
      </c>
      <c r="V102" s="341"/>
      <c r="W102"/>
      <c r="X102"/>
    </row>
    <row r="103" spans="1:24" ht="22.5" customHeight="1" x14ac:dyDescent="0.25">
      <c r="A103" s="22">
        <v>83</v>
      </c>
      <c r="B103" s="239"/>
      <c r="C103" s="239"/>
      <c r="D103" s="238"/>
      <c r="E103" s="238"/>
      <c r="F103" s="239"/>
      <c r="G103" s="239"/>
      <c r="H103" s="238"/>
      <c r="I103" s="238"/>
      <c r="J103" s="309">
        <f t="shared" si="5"/>
        <v>0</v>
      </c>
      <c r="K103" s="309"/>
      <c r="L103" s="343"/>
      <c r="M103" s="22">
        <v>83</v>
      </c>
      <c r="N103" s="239"/>
      <c r="O103" s="239"/>
      <c r="P103" s="238"/>
      <c r="Q103" s="238"/>
      <c r="R103" s="239"/>
      <c r="S103" s="239"/>
      <c r="T103" s="23"/>
      <c r="U103" s="256">
        <f t="shared" si="6"/>
        <v>0</v>
      </c>
      <c r="V103" s="257"/>
      <c r="W103"/>
      <c r="X103"/>
    </row>
    <row r="104" spans="1:24" ht="22.5" customHeight="1" x14ac:dyDescent="0.25">
      <c r="A104" s="14">
        <v>84</v>
      </c>
      <c r="B104" s="252"/>
      <c r="C104" s="252"/>
      <c r="D104" s="251"/>
      <c r="E104" s="251"/>
      <c r="F104" s="252"/>
      <c r="G104" s="252"/>
      <c r="H104" s="251"/>
      <c r="I104" s="251"/>
      <c r="J104" s="323">
        <f t="shared" si="5"/>
        <v>0</v>
      </c>
      <c r="K104" s="324"/>
      <c r="L104" s="343"/>
      <c r="M104" s="15">
        <v>84</v>
      </c>
      <c r="N104" s="260"/>
      <c r="O104" s="260"/>
      <c r="P104" s="259"/>
      <c r="Q104" s="259"/>
      <c r="R104" s="260"/>
      <c r="S104" s="260"/>
      <c r="T104" s="24"/>
      <c r="U104" s="340">
        <f t="shared" si="6"/>
        <v>0</v>
      </c>
      <c r="V104" s="341"/>
      <c r="W104"/>
      <c r="X104"/>
    </row>
    <row r="105" spans="1:24" ht="22.5" customHeight="1" x14ac:dyDescent="0.25">
      <c r="A105" s="22">
        <v>85</v>
      </c>
      <c r="B105" s="239"/>
      <c r="C105" s="239"/>
      <c r="D105" s="238"/>
      <c r="E105" s="238"/>
      <c r="F105" s="239"/>
      <c r="G105" s="239"/>
      <c r="H105" s="238"/>
      <c r="I105" s="238"/>
      <c r="J105" s="309">
        <f t="shared" si="5"/>
        <v>0</v>
      </c>
      <c r="K105" s="309"/>
      <c r="L105" s="343"/>
      <c r="M105" s="22">
        <v>85</v>
      </c>
      <c r="N105" s="239"/>
      <c r="O105" s="239"/>
      <c r="P105" s="238"/>
      <c r="Q105" s="238"/>
      <c r="R105" s="239"/>
      <c r="S105" s="239"/>
      <c r="T105" s="23"/>
      <c r="U105" s="256">
        <f t="shared" si="6"/>
        <v>0</v>
      </c>
      <c r="V105" s="257"/>
      <c r="W105"/>
      <c r="X105"/>
    </row>
    <row r="106" spans="1:24" ht="22.5" customHeight="1" x14ac:dyDescent="0.25">
      <c r="A106" s="14">
        <v>86</v>
      </c>
      <c r="B106" s="252"/>
      <c r="C106" s="252"/>
      <c r="D106" s="251"/>
      <c r="E106" s="251"/>
      <c r="F106" s="252"/>
      <c r="G106" s="252"/>
      <c r="H106" s="251"/>
      <c r="I106" s="251"/>
      <c r="J106" s="323">
        <f t="shared" si="5"/>
        <v>0</v>
      </c>
      <c r="K106" s="324"/>
      <c r="L106" s="343"/>
      <c r="M106" s="15">
        <v>86</v>
      </c>
      <c r="N106" s="260"/>
      <c r="O106" s="260"/>
      <c r="P106" s="259"/>
      <c r="Q106" s="259"/>
      <c r="R106" s="260"/>
      <c r="S106" s="260"/>
      <c r="T106" s="24"/>
      <c r="U106" s="340">
        <f t="shared" si="6"/>
        <v>0</v>
      </c>
      <c r="V106" s="341"/>
      <c r="W106"/>
      <c r="X106"/>
    </row>
    <row r="107" spans="1:24" ht="22.5" customHeight="1" x14ac:dyDescent="0.25">
      <c r="A107" s="22">
        <v>87</v>
      </c>
      <c r="B107" s="239"/>
      <c r="C107" s="239"/>
      <c r="D107" s="238"/>
      <c r="E107" s="238"/>
      <c r="F107" s="239"/>
      <c r="G107" s="239"/>
      <c r="H107" s="238"/>
      <c r="I107" s="238"/>
      <c r="J107" s="309">
        <f t="shared" si="5"/>
        <v>0</v>
      </c>
      <c r="K107" s="309"/>
      <c r="L107" s="343"/>
      <c r="M107" s="22">
        <v>87</v>
      </c>
      <c r="N107" s="239"/>
      <c r="O107" s="239"/>
      <c r="P107" s="238"/>
      <c r="Q107" s="238"/>
      <c r="R107" s="239"/>
      <c r="S107" s="239"/>
      <c r="T107" s="23"/>
      <c r="U107" s="256">
        <f t="shared" si="6"/>
        <v>0</v>
      </c>
      <c r="V107" s="257"/>
      <c r="W107"/>
      <c r="X107"/>
    </row>
    <row r="108" spans="1:24" ht="22.5" customHeight="1" x14ac:dyDescent="0.25">
      <c r="A108" s="14">
        <v>88</v>
      </c>
      <c r="B108" s="252"/>
      <c r="C108" s="252"/>
      <c r="D108" s="251"/>
      <c r="E108" s="251"/>
      <c r="F108" s="252"/>
      <c r="G108" s="252"/>
      <c r="H108" s="251"/>
      <c r="I108" s="251"/>
      <c r="J108" s="323">
        <f t="shared" si="5"/>
        <v>0</v>
      </c>
      <c r="K108" s="324"/>
      <c r="L108" s="343"/>
      <c r="M108" s="15">
        <v>88</v>
      </c>
      <c r="N108" s="260"/>
      <c r="O108" s="260"/>
      <c r="P108" s="259"/>
      <c r="Q108" s="259"/>
      <c r="R108" s="260"/>
      <c r="S108" s="260"/>
      <c r="T108" s="24"/>
      <c r="U108" s="340">
        <f t="shared" si="6"/>
        <v>0</v>
      </c>
      <c r="V108" s="341"/>
      <c r="W108"/>
      <c r="X108"/>
    </row>
    <row r="109" spans="1:24" ht="22.5" customHeight="1" x14ac:dyDescent="0.25">
      <c r="A109" s="22">
        <v>89</v>
      </c>
      <c r="B109" s="239"/>
      <c r="C109" s="239"/>
      <c r="D109" s="238"/>
      <c r="E109" s="238"/>
      <c r="F109" s="239"/>
      <c r="G109" s="239"/>
      <c r="H109" s="238"/>
      <c r="I109" s="238"/>
      <c r="J109" s="309">
        <f t="shared" si="5"/>
        <v>0</v>
      </c>
      <c r="K109" s="309"/>
      <c r="L109" s="343"/>
      <c r="M109" s="22">
        <v>89</v>
      </c>
      <c r="N109" s="239"/>
      <c r="O109" s="239"/>
      <c r="P109" s="238"/>
      <c r="Q109" s="238"/>
      <c r="R109" s="239"/>
      <c r="S109" s="239"/>
      <c r="T109" s="23"/>
      <c r="U109" s="256">
        <f t="shared" si="6"/>
        <v>0</v>
      </c>
      <c r="V109" s="257"/>
      <c r="W109"/>
      <c r="X109"/>
    </row>
    <row r="110" spans="1:24" ht="22.5" customHeight="1" x14ac:dyDescent="0.25">
      <c r="A110" s="14">
        <v>90</v>
      </c>
      <c r="B110" s="252"/>
      <c r="C110" s="252"/>
      <c r="D110" s="251"/>
      <c r="E110" s="251"/>
      <c r="F110" s="252"/>
      <c r="G110" s="252"/>
      <c r="H110" s="251"/>
      <c r="I110" s="251"/>
      <c r="J110" s="323">
        <f t="shared" si="5"/>
        <v>0</v>
      </c>
      <c r="K110" s="324"/>
      <c r="L110" s="343"/>
      <c r="M110" s="15">
        <v>90</v>
      </c>
      <c r="N110" s="260"/>
      <c r="O110" s="260"/>
      <c r="P110" s="259"/>
      <c r="Q110" s="259"/>
      <c r="R110" s="260"/>
      <c r="S110" s="260"/>
      <c r="T110" s="24"/>
      <c r="U110" s="340">
        <f t="shared" si="6"/>
        <v>0</v>
      </c>
      <c r="V110" s="341"/>
      <c r="W110"/>
      <c r="X110"/>
    </row>
    <row r="111" spans="1:24" ht="22.5" customHeight="1" x14ac:dyDescent="0.25">
      <c r="A111" s="22">
        <v>91</v>
      </c>
      <c r="B111" s="239"/>
      <c r="C111" s="239"/>
      <c r="D111" s="238"/>
      <c r="E111" s="238"/>
      <c r="F111" s="239"/>
      <c r="G111" s="239"/>
      <c r="H111" s="238"/>
      <c r="I111" s="238"/>
      <c r="J111" s="309">
        <f t="shared" si="5"/>
        <v>0</v>
      </c>
      <c r="K111" s="309"/>
      <c r="L111" s="343"/>
      <c r="M111" s="22">
        <v>91</v>
      </c>
      <c r="N111" s="239"/>
      <c r="O111" s="239"/>
      <c r="P111" s="238"/>
      <c r="Q111" s="238"/>
      <c r="R111" s="239"/>
      <c r="S111" s="239"/>
      <c r="T111" s="23"/>
      <c r="U111" s="256">
        <f t="shared" si="6"/>
        <v>0</v>
      </c>
      <c r="V111" s="257"/>
      <c r="W111"/>
      <c r="X111"/>
    </row>
    <row r="112" spans="1:24" ht="22.5" customHeight="1" x14ac:dyDescent="0.25">
      <c r="A112" s="14">
        <v>92</v>
      </c>
      <c r="B112" s="252"/>
      <c r="C112" s="252"/>
      <c r="D112" s="251"/>
      <c r="E112" s="251"/>
      <c r="F112" s="252"/>
      <c r="G112" s="252"/>
      <c r="H112" s="251"/>
      <c r="I112" s="251"/>
      <c r="J112" s="323">
        <f t="shared" si="5"/>
        <v>0</v>
      </c>
      <c r="K112" s="324"/>
      <c r="L112" s="343"/>
      <c r="M112" s="15">
        <v>92</v>
      </c>
      <c r="N112" s="260"/>
      <c r="O112" s="260"/>
      <c r="P112" s="259"/>
      <c r="Q112" s="259"/>
      <c r="R112" s="260"/>
      <c r="S112" s="260"/>
      <c r="T112" s="24"/>
      <c r="U112" s="340">
        <f t="shared" si="6"/>
        <v>0</v>
      </c>
      <c r="V112" s="341"/>
      <c r="W112"/>
      <c r="X112"/>
    </row>
    <row r="113" spans="1:24" ht="22.5" customHeight="1" x14ac:dyDescent="0.25">
      <c r="A113" s="22">
        <v>93</v>
      </c>
      <c r="B113" s="239"/>
      <c r="C113" s="239"/>
      <c r="D113" s="238"/>
      <c r="E113" s="238"/>
      <c r="F113" s="239"/>
      <c r="G113" s="239"/>
      <c r="H113" s="238"/>
      <c r="I113" s="238"/>
      <c r="J113" s="309">
        <f t="shared" si="5"/>
        <v>0</v>
      </c>
      <c r="K113" s="309"/>
      <c r="L113" s="343"/>
      <c r="M113" s="22">
        <v>93</v>
      </c>
      <c r="N113" s="239"/>
      <c r="O113" s="239"/>
      <c r="P113" s="238"/>
      <c r="Q113" s="238"/>
      <c r="R113" s="239"/>
      <c r="S113" s="239"/>
      <c r="T113" s="23"/>
      <c r="U113" s="256">
        <f t="shared" si="6"/>
        <v>0</v>
      </c>
      <c r="V113" s="257"/>
      <c r="W113"/>
      <c r="X113"/>
    </row>
    <row r="114" spans="1:24" ht="22.5" customHeight="1" x14ac:dyDescent="0.25">
      <c r="A114" s="14">
        <v>94</v>
      </c>
      <c r="B114" s="252"/>
      <c r="C114" s="252"/>
      <c r="D114" s="251"/>
      <c r="E114" s="251"/>
      <c r="F114" s="252"/>
      <c r="G114" s="252"/>
      <c r="H114" s="251"/>
      <c r="I114" s="251"/>
      <c r="J114" s="323">
        <f t="shared" si="5"/>
        <v>0</v>
      </c>
      <c r="K114" s="324"/>
      <c r="L114" s="343"/>
      <c r="M114" s="15">
        <v>94</v>
      </c>
      <c r="N114" s="260"/>
      <c r="O114" s="260"/>
      <c r="P114" s="259"/>
      <c r="Q114" s="259"/>
      <c r="R114" s="260"/>
      <c r="S114" s="260"/>
      <c r="T114" s="24"/>
      <c r="U114" s="340">
        <f t="shared" si="6"/>
        <v>0</v>
      </c>
      <c r="V114" s="341"/>
      <c r="W114"/>
      <c r="X114"/>
    </row>
    <row r="115" spans="1:24" ht="22.5" customHeight="1" x14ac:dyDescent="0.25">
      <c r="A115" s="22">
        <v>95</v>
      </c>
      <c r="B115" s="239"/>
      <c r="C115" s="239"/>
      <c r="D115" s="238"/>
      <c r="E115" s="238"/>
      <c r="F115" s="239"/>
      <c r="G115" s="239"/>
      <c r="H115" s="238"/>
      <c r="I115" s="238"/>
      <c r="J115" s="309">
        <f t="shared" si="5"/>
        <v>0</v>
      </c>
      <c r="K115" s="309"/>
      <c r="L115" s="343"/>
      <c r="M115" s="22">
        <v>95</v>
      </c>
      <c r="N115" s="239"/>
      <c r="O115" s="239"/>
      <c r="P115" s="238"/>
      <c r="Q115" s="238"/>
      <c r="R115" s="239"/>
      <c r="S115" s="239"/>
      <c r="T115" s="23"/>
      <c r="U115" s="256">
        <f t="shared" si="6"/>
        <v>0</v>
      </c>
      <c r="V115" s="257"/>
      <c r="W115"/>
      <c r="X115"/>
    </row>
    <row r="116" spans="1:24" ht="22.5" customHeight="1" x14ac:dyDescent="0.25">
      <c r="A116" s="14">
        <v>96</v>
      </c>
      <c r="B116" s="252"/>
      <c r="C116" s="252"/>
      <c r="D116" s="251"/>
      <c r="E116" s="251"/>
      <c r="F116" s="252"/>
      <c r="G116" s="252"/>
      <c r="H116" s="251"/>
      <c r="I116" s="251"/>
      <c r="J116" s="323">
        <f t="shared" si="5"/>
        <v>0</v>
      </c>
      <c r="K116" s="324"/>
      <c r="L116" s="343"/>
      <c r="M116" s="15">
        <v>96</v>
      </c>
      <c r="N116" s="260"/>
      <c r="O116" s="260"/>
      <c r="P116" s="259"/>
      <c r="Q116" s="259"/>
      <c r="R116" s="260"/>
      <c r="S116" s="260"/>
      <c r="T116" s="24"/>
      <c r="U116" s="340">
        <f t="shared" si="6"/>
        <v>0</v>
      </c>
      <c r="V116" s="341"/>
      <c r="W116"/>
      <c r="X116"/>
    </row>
    <row r="117" spans="1:24" ht="22.5" customHeight="1" x14ac:dyDescent="0.25">
      <c r="A117" s="22">
        <v>97</v>
      </c>
      <c r="B117" s="239"/>
      <c r="C117" s="239"/>
      <c r="D117" s="238"/>
      <c r="E117" s="238"/>
      <c r="F117" s="239"/>
      <c r="G117" s="239"/>
      <c r="H117" s="238"/>
      <c r="I117" s="238"/>
      <c r="J117" s="309">
        <f t="shared" si="5"/>
        <v>0</v>
      </c>
      <c r="K117" s="309"/>
      <c r="L117" s="343"/>
      <c r="M117" s="22">
        <v>97</v>
      </c>
      <c r="N117" s="239"/>
      <c r="O117" s="239"/>
      <c r="P117" s="238"/>
      <c r="Q117" s="238"/>
      <c r="R117" s="239"/>
      <c r="S117" s="239"/>
      <c r="T117" s="23"/>
      <c r="U117" s="256">
        <f t="shared" si="6"/>
        <v>0</v>
      </c>
      <c r="V117" s="257"/>
      <c r="W117"/>
      <c r="X117"/>
    </row>
    <row r="118" spans="1:24" ht="22.5" customHeight="1" x14ac:dyDescent="0.25">
      <c r="A118" s="14">
        <v>98</v>
      </c>
      <c r="B118" s="252"/>
      <c r="C118" s="252"/>
      <c r="D118" s="251"/>
      <c r="E118" s="251"/>
      <c r="F118" s="252"/>
      <c r="G118" s="252"/>
      <c r="H118" s="251"/>
      <c r="I118" s="251"/>
      <c r="J118" s="323">
        <f t="shared" si="5"/>
        <v>0</v>
      </c>
      <c r="K118" s="324"/>
      <c r="L118" s="343"/>
      <c r="M118" s="15">
        <v>98</v>
      </c>
      <c r="N118" s="260"/>
      <c r="O118" s="260"/>
      <c r="P118" s="259"/>
      <c r="Q118" s="259"/>
      <c r="R118" s="260"/>
      <c r="S118" s="260"/>
      <c r="T118" s="24"/>
      <c r="U118" s="340">
        <f t="shared" si="6"/>
        <v>0</v>
      </c>
      <c r="V118" s="341"/>
      <c r="W118"/>
      <c r="X118"/>
    </row>
    <row r="119" spans="1:24" ht="22.5" customHeight="1" x14ac:dyDescent="0.25">
      <c r="A119" s="22">
        <v>99</v>
      </c>
      <c r="B119" s="239"/>
      <c r="C119" s="239"/>
      <c r="D119" s="238"/>
      <c r="E119" s="238"/>
      <c r="F119" s="239"/>
      <c r="G119" s="239"/>
      <c r="H119" s="238"/>
      <c r="I119" s="238"/>
      <c r="J119" s="309">
        <f t="shared" si="5"/>
        <v>0</v>
      </c>
      <c r="K119" s="309"/>
      <c r="L119" s="343"/>
      <c r="M119" s="22">
        <v>99</v>
      </c>
      <c r="N119" s="239"/>
      <c r="O119" s="239"/>
      <c r="P119" s="238"/>
      <c r="Q119" s="238"/>
      <c r="R119" s="239"/>
      <c r="S119" s="239"/>
      <c r="T119" s="23"/>
      <c r="U119" s="256">
        <f t="shared" si="6"/>
        <v>0</v>
      </c>
      <c r="V119" s="257"/>
      <c r="W119"/>
      <c r="X119"/>
    </row>
    <row r="120" spans="1:24" ht="22.5" customHeight="1" x14ac:dyDescent="0.25">
      <c r="A120" s="14">
        <v>100</v>
      </c>
      <c r="B120" s="252"/>
      <c r="C120" s="252"/>
      <c r="D120" s="251"/>
      <c r="E120" s="251"/>
      <c r="F120" s="252"/>
      <c r="G120" s="252"/>
      <c r="H120" s="251"/>
      <c r="I120" s="251"/>
      <c r="J120" s="323">
        <f t="shared" si="5"/>
        <v>0</v>
      </c>
      <c r="K120" s="324"/>
      <c r="L120" s="343"/>
      <c r="M120" s="15">
        <v>100</v>
      </c>
      <c r="N120" s="260"/>
      <c r="O120" s="260"/>
      <c r="P120" s="259"/>
      <c r="Q120" s="259"/>
      <c r="R120" s="260"/>
      <c r="S120" s="260"/>
      <c r="T120" s="24"/>
      <c r="U120" s="340">
        <f t="shared" si="6"/>
        <v>0</v>
      </c>
      <c r="V120" s="341"/>
      <c r="W120"/>
      <c r="X120"/>
    </row>
    <row r="121" spans="1:24" ht="22.5" customHeight="1" x14ac:dyDescent="0.25">
      <c r="A121" s="22">
        <v>101</v>
      </c>
      <c r="B121" s="239"/>
      <c r="C121" s="239"/>
      <c r="D121" s="238"/>
      <c r="E121" s="238"/>
      <c r="F121" s="239"/>
      <c r="G121" s="239"/>
      <c r="H121" s="238"/>
      <c r="I121" s="238"/>
      <c r="J121" s="309">
        <f t="shared" si="5"/>
        <v>0</v>
      </c>
      <c r="K121" s="309"/>
      <c r="L121" s="343"/>
      <c r="M121" s="22">
        <v>101</v>
      </c>
      <c r="N121" s="239"/>
      <c r="O121" s="239"/>
      <c r="P121" s="238"/>
      <c r="Q121" s="238"/>
      <c r="R121" s="239"/>
      <c r="S121" s="239"/>
      <c r="T121" s="23"/>
      <c r="U121" s="256">
        <f t="shared" si="6"/>
        <v>0</v>
      </c>
      <c r="V121" s="257"/>
      <c r="W121"/>
      <c r="X121"/>
    </row>
    <row r="122" spans="1:24" ht="22.5" customHeight="1" x14ac:dyDescent="0.25">
      <c r="A122" s="14">
        <v>102</v>
      </c>
      <c r="B122" s="252"/>
      <c r="C122" s="252"/>
      <c r="D122" s="251"/>
      <c r="E122" s="251"/>
      <c r="F122" s="252"/>
      <c r="G122" s="252"/>
      <c r="H122" s="251"/>
      <c r="I122" s="251"/>
      <c r="J122" s="323">
        <f t="shared" si="5"/>
        <v>0</v>
      </c>
      <c r="K122" s="324"/>
      <c r="L122" s="343"/>
      <c r="M122" s="15">
        <v>102</v>
      </c>
      <c r="N122" s="260"/>
      <c r="O122" s="260"/>
      <c r="P122" s="259"/>
      <c r="Q122" s="259"/>
      <c r="R122" s="260"/>
      <c r="S122" s="260"/>
      <c r="T122" s="24"/>
      <c r="U122" s="340">
        <f t="shared" si="6"/>
        <v>0</v>
      </c>
      <c r="V122" s="341"/>
      <c r="W122"/>
      <c r="X122"/>
    </row>
    <row r="123" spans="1:24" ht="22.5" customHeight="1" x14ac:dyDescent="0.25">
      <c r="A123" s="22">
        <v>103</v>
      </c>
      <c r="B123" s="239"/>
      <c r="C123" s="239"/>
      <c r="D123" s="238"/>
      <c r="E123" s="238"/>
      <c r="F123" s="239"/>
      <c r="G123" s="239"/>
      <c r="H123" s="238"/>
      <c r="I123" s="238"/>
      <c r="J123" s="309">
        <f t="shared" si="5"/>
        <v>0</v>
      </c>
      <c r="K123" s="309"/>
      <c r="L123" s="343"/>
      <c r="M123" s="22">
        <v>103</v>
      </c>
      <c r="N123" s="239"/>
      <c r="O123" s="239"/>
      <c r="P123" s="238"/>
      <c r="Q123" s="238"/>
      <c r="R123" s="239"/>
      <c r="S123" s="239"/>
      <c r="T123" s="23"/>
      <c r="U123" s="256">
        <f t="shared" si="6"/>
        <v>0</v>
      </c>
      <c r="V123" s="257"/>
      <c r="W123"/>
      <c r="X123"/>
    </row>
    <row r="124" spans="1:24" ht="22.5" customHeight="1" x14ac:dyDescent="0.25">
      <c r="A124" s="14">
        <v>104</v>
      </c>
      <c r="B124" s="252"/>
      <c r="C124" s="252"/>
      <c r="D124" s="251"/>
      <c r="E124" s="251"/>
      <c r="F124" s="252"/>
      <c r="G124" s="252"/>
      <c r="H124" s="251"/>
      <c r="I124" s="251"/>
      <c r="J124" s="323">
        <f t="shared" si="5"/>
        <v>0</v>
      </c>
      <c r="K124" s="324"/>
      <c r="L124" s="343"/>
      <c r="M124" s="15">
        <v>104</v>
      </c>
      <c r="N124" s="260"/>
      <c r="O124" s="260"/>
      <c r="P124" s="259"/>
      <c r="Q124" s="259"/>
      <c r="R124" s="260"/>
      <c r="S124" s="260"/>
      <c r="T124" s="24"/>
      <c r="U124" s="340">
        <f t="shared" si="6"/>
        <v>0</v>
      </c>
      <c r="V124" s="341"/>
      <c r="W124"/>
      <c r="X124"/>
    </row>
    <row r="125" spans="1:24" ht="22.5" customHeight="1" x14ac:dyDescent="0.25">
      <c r="A125" s="22">
        <v>105</v>
      </c>
      <c r="B125" s="239"/>
      <c r="C125" s="239"/>
      <c r="D125" s="238"/>
      <c r="E125" s="238"/>
      <c r="F125" s="239"/>
      <c r="G125" s="239"/>
      <c r="H125" s="238"/>
      <c r="I125" s="238"/>
      <c r="J125" s="309">
        <f t="shared" si="5"/>
        <v>0</v>
      </c>
      <c r="K125" s="309"/>
      <c r="L125" s="343"/>
      <c r="M125" s="22">
        <v>105</v>
      </c>
      <c r="N125" s="239"/>
      <c r="O125" s="239"/>
      <c r="P125" s="238"/>
      <c r="Q125" s="238"/>
      <c r="R125" s="239"/>
      <c r="S125" s="239"/>
      <c r="T125" s="23"/>
      <c r="U125" s="256">
        <f t="shared" si="6"/>
        <v>0</v>
      </c>
      <c r="V125" s="257"/>
      <c r="W125"/>
      <c r="X125"/>
    </row>
    <row r="126" spans="1:24" ht="22.5" customHeight="1" x14ac:dyDescent="0.25">
      <c r="A126" s="14">
        <v>106</v>
      </c>
      <c r="B126" s="252"/>
      <c r="C126" s="252"/>
      <c r="D126" s="251"/>
      <c r="E126" s="251"/>
      <c r="F126" s="252"/>
      <c r="G126" s="252"/>
      <c r="H126" s="251"/>
      <c r="I126" s="251"/>
      <c r="J126" s="323">
        <f t="shared" si="5"/>
        <v>0</v>
      </c>
      <c r="K126" s="324"/>
      <c r="L126" s="343"/>
      <c r="M126" s="15">
        <v>106</v>
      </c>
      <c r="N126" s="260"/>
      <c r="O126" s="260"/>
      <c r="P126" s="259"/>
      <c r="Q126" s="259"/>
      <c r="R126" s="260"/>
      <c r="S126" s="260"/>
      <c r="T126" s="24"/>
      <c r="U126" s="340">
        <f t="shared" si="6"/>
        <v>0</v>
      </c>
      <c r="V126" s="341"/>
      <c r="W126"/>
      <c r="X126"/>
    </row>
    <row r="127" spans="1:24" ht="22.5" customHeight="1" x14ac:dyDescent="0.25">
      <c r="A127" s="22">
        <v>107</v>
      </c>
      <c r="B127" s="239"/>
      <c r="C127" s="239"/>
      <c r="D127" s="238"/>
      <c r="E127" s="238"/>
      <c r="F127" s="239"/>
      <c r="G127" s="239"/>
      <c r="H127" s="238"/>
      <c r="I127" s="238"/>
      <c r="J127" s="309">
        <f t="shared" si="5"/>
        <v>0</v>
      </c>
      <c r="K127" s="309"/>
      <c r="L127" s="343"/>
      <c r="M127" s="22">
        <v>107</v>
      </c>
      <c r="N127" s="239"/>
      <c r="O127" s="239"/>
      <c r="P127" s="238"/>
      <c r="Q127" s="238"/>
      <c r="R127" s="239"/>
      <c r="S127" s="239"/>
      <c r="T127" s="23"/>
      <c r="U127" s="256">
        <f t="shared" si="6"/>
        <v>0</v>
      </c>
      <c r="V127" s="257"/>
      <c r="W127"/>
      <c r="X127"/>
    </row>
    <row r="128" spans="1:24" ht="22.5" customHeight="1" x14ac:dyDescent="0.25">
      <c r="A128" s="14">
        <v>108</v>
      </c>
      <c r="B128" s="252"/>
      <c r="C128" s="252"/>
      <c r="D128" s="251"/>
      <c r="E128" s="251"/>
      <c r="F128" s="252"/>
      <c r="G128" s="252"/>
      <c r="H128" s="251"/>
      <c r="I128" s="251"/>
      <c r="J128" s="323">
        <f t="shared" si="5"/>
        <v>0</v>
      </c>
      <c r="K128" s="324"/>
      <c r="L128" s="343"/>
      <c r="M128" s="15">
        <v>108</v>
      </c>
      <c r="N128" s="260"/>
      <c r="O128" s="260"/>
      <c r="P128" s="259"/>
      <c r="Q128" s="259"/>
      <c r="R128" s="260"/>
      <c r="S128" s="260"/>
      <c r="T128" s="24"/>
      <c r="U128" s="340">
        <f t="shared" si="6"/>
        <v>0</v>
      </c>
      <c r="V128" s="341"/>
      <c r="W128"/>
      <c r="X128"/>
    </row>
    <row r="129" spans="1:24" ht="22.5" customHeight="1" x14ac:dyDescent="0.25">
      <c r="A129" s="22">
        <v>109</v>
      </c>
      <c r="B129" s="239"/>
      <c r="C129" s="239"/>
      <c r="D129" s="238"/>
      <c r="E129" s="238"/>
      <c r="F129" s="239"/>
      <c r="G129" s="239"/>
      <c r="H129" s="238"/>
      <c r="I129" s="238"/>
      <c r="J129" s="309">
        <f t="shared" si="5"/>
        <v>0</v>
      </c>
      <c r="K129" s="309"/>
      <c r="L129" s="343"/>
      <c r="M129" s="22">
        <v>109</v>
      </c>
      <c r="N129" s="239"/>
      <c r="O129" s="239"/>
      <c r="P129" s="238"/>
      <c r="Q129" s="238"/>
      <c r="R129" s="239"/>
      <c r="S129" s="239"/>
      <c r="T129" s="23"/>
      <c r="U129" s="256">
        <f t="shared" si="6"/>
        <v>0</v>
      </c>
      <c r="V129" s="257"/>
      <c r="W129"/>
      <c r="X129"/>
    </row>
    <row r="130" spans="1:24" ht="22.5" customHeight="1" x14ac:dyDescent="0.25">
      <c r="A130" s="14">
        <v>110</v>
      </c>
      <c r="B130" s="252"/>
      <c r="C130" s="252"/>
      <c r="D130" s="251"/>
      <c r="E130" s="251"/>
      <c r="F130" s="252"/>
      <c r="G130" s="252"/>
      <c r="H130" s="251"/>
      <c r="I130" s="251"/>
      <c r="J130" s="323">
        <f t="shared" si="5"/>
        <v>0</v>
      </c>
      <c r="K130" s="324"/>
      <c r="L130" s="343"/>
      <c r="M130" s="15">
        <v>110</v>
      </c>
      <c r="N130" s="260"/>
      <c r="O130" s="260"/>
      <c r="P130" s="259"/>
      <c r="Q130" s="259"/>
      <c r="R130" s="260"/>
      <c r="S130" s="260"/>
      <c r="T130" s="24"/>
      <c r="U130" s="340">
        <f t="shared" si="6"/>
        <v>0</v>
      </c>
      <c r="V130" s="341"/>
      <c r="W130"/>
      <c r="X130"/>
    </row>
    <row r="131" spans="1:24" ht="22.5" customHeight="1" x14ac:dyDescent="0.25">
      <c r="A131" s="22">
        <v>111</v>
      </c>
      <c r="B131" s="239"/>
      <c r="C131" s="239"/>
      <c r="D131" s="238"/>
      <c r="E131" s="238"/>
      <c r="F131" s="239"/>
      <c r="G131" s="239"/>
      <c r="H131" s="238"/>
      <c r="I131" s="238"/>
      <c r="J131" s="309">
        <f t="shared" si="5"/>
        <v>0</v>
      </c>
      <c r="K131" s="309"/>
      <c r="L131" s="343"/>
      <c r="M131" s="22">
        <v>111</v>
      </c>
      <c r="N131" s="239"/>
      <c r="O131" s="239"/>
      <c r="P131" s="238"/>
      <c r="Q131" s="238"/>
      <c r="R131" s="239"/>
      <c r="S131" s="239"/>
      <c r="T131" s="23"/>
      <c r="U131" s="256">
        <f t="shared" si="6"/>
        <v>0</v>
      </c>
      <c r="V131" s="257"/>
      <c r="W131"/>
      <c r="X131"/>
    </row>
    <row r="132" spans="1:24" ht="22.5" customHeight="1" x14ac:dyDescent="0.25">
      <c r="A132" s="14">
        <v>112</v>
      </c>
      <c r="B132" s="252"/>
      <c r="C132" s="252"/>
      <c r="D132" s="251"/>
      <c r="E132" s="251"/>
      <c r="F132" s="252"/>
      <c r="G132" s="252"/>
      <c r="H132" s="251"/>
      <c r="I132" s="251"/>
      <c r="J132" s="323">
        <f t="shared" si="5"/>
        <v>0</v>
      </c>
      <c r="K132" s="324"/>
      <c r="L132" s="343"/>
      <c r="M132" s="15">
        <v>112</v>
      </c>
      <c r="N132" s="260"/>
      <c r="O132" s="260"/>
      <c r="P132" s="259"/>
      <c r="Q132" s="259"/>
      <c r="R132" s="260"/>
      <c r="S132" s="260"/>
      <c r="T132" s="24"/>
      <c r="U132" s="340">
        <f t="shared" si="6"/>
        <v>0</v>
      </c>
      <c r="V132" s="341"/>
      <c r="W132"/>
      <c r="X132"/>
    </row>
    <row r="133" spans="1:24" ht="22.5" customHeight="1" x14ac:dyDescent="0.25">
      <c r="A133" s="22">
        <v>113</v>
      </c>
      <c r="B133" s="239"/>
      <c r="C133" s="239"/>
      <c r="D133" s="238"/>
      <c r="E133" s="238"/>
      <c r="F133" s="239"/>
      <c r="G133" s="239"/>
      <c r="H133" s="238"/>
      <c r="I133" s="238"/>
      <c r="J133" s="309">
        <f t="shared" si="5"/>
        <v>0</v>
      </c>
      <c r="K133" s="309"/>
      <c r="L133" s="343"/>
      <c r="M133" s="22">
        <v>113</v>
      </c>
      <c r="N133" s="239"/>
      <c r="O133" s="239"/>
      <c r="P133" s="238"/>
      <c r="Q133" s="238"/>
      <c r="R133" s="239"/>
      <c r="S133" s="239"/>
      <c r="T133" s="23"/>
      <c r="U133" s="256">
        <f t="shared" si="6"/>
        <v>0</v>
      </c>
      <c r="V133" s="257"/>
      <c r="W133"/>
      <c r="X133"/>
    </row>
    <row r="134" spans="1:24" ht="22.5" customHeight="1" x14ac:dyDescent="0.25">
      <c r="A134" s="14">
        <v>114</v>
      </c>
      <c r="B134" s="252"/>
      <c r="C134" s="252"/>
      <c r="D134" s="251"/>
      <c r="E134" s="251"/>
      <c r="F134" s="252"/>
      <c r="G134" s="252"/>
      <c r="H134" s="251"/>
      <c r="I134" s="251"/>
      <c r="J134" s="323">
        <f t="shared" si="5"/>
        <v>0</v>
      </c>
      <c r="K134" s="324"/>
      <c r="L134" s="343"/>
      <c r="M134" s="15">
        <v>114</v>
      </c>
      <c r="N134" s="260"/>
      <c r="O134" s="260"/>
      <c r="P134" s="259"/>
      <c r="Q134" s="259"/>
      <c r="R134" s="260"/>
      <c r="S134" s="260"/>
      <c r="T134" s="24"/>
      <c r="U134" s="340">
        <f t="shared" si="6"/>
        <v>0</v>
      </c>
      <c r="V134" s="341"/>
      <c r="W134"/>
      <c r="X134"/>
    </row>
    <row r="135" spans="1:24" ht="22.5" customHeight="1" x14ac:dyDescent="0.25">
      <c r="A135" s="22">
        <v>115</v>
      </c>
      <c r="B135" s="239"/>
      <c r="C135" s="239"/>
      <c r="D135" s="238"/>
      <c r="E135" s="238"/>
      <c r="F135" s="239"/>
      <c r="G135" s="239"/>
      <c r="H135" s="238"/>
      <c r="I135" s="238"/>
      <c r="J135" s="309">
        <f t="shared" si="5"/>
        <v>0</v>
      </c>
      <c r="K135" s="309"/>
      <c r="L135" s="343"/>
      <c r="M135" s="22">
        <v>115</v>
      </c>
      <c r="N135" s="239"/>
      <c r="O135" s="239"/>
      <c r="P135" s="238"/>
      <c r="Q135" s="238"/>
      <c r="R135" s="239"/>
      <c r="S135" s="239"/>
      <c r="T135" s="23"/>
      <c r="U135" s="256">
        <f t="shared" si="6"/>
        <v>0</v>
      </c>
      <c r="V135" s="257"/>
      <c r="W135"/>
      <c r="X135"/>
    </row>
    <row r="136" spans="1:24" ht="22.5" customHeight="1" x14ac:dyDescent="0.25">
      <c r="A136" s="14">
        <v>116</v>
      </c>
      <c r="B136" s="252"/>
      <c r="C136" s="252"/>
      <c r="D136" s="251"/>
      <c r="E136" s="251"/>
      <c r="F136" s="252"/>
      <c r="G136" s="252"/>
      <c r="H136" s="251"/>
      <c r="I136" s="251"/>
      <c r="J136" s="323">
        <f t="shared" si="5"/>
        <v>0</v>
      </c>
      <c r="K136" s="324"/>
      <c r="L136" s="343"/>
      <c r="M136" s="15">
        <v>116</v>
      </c>
      <c r="N136" s="260"/>
      <c r="O136" s="260"/>
      <c r="P136" s="259"/>
      <c r="Q136" s="259"/>
      <c r="R136" s="260"/>
      <c r="S136" s="260"/>
      <c r="T136" s="24"/>
      <c r="U136" s="340">
        <f t="shared" si="6"/>
        <v>0</v>
      </c>
      <c r="V136" s="341"/>
      <c r="W136"/>
      <c r="X136"/>
    </row>
    <row r="137" spans="1:24" ht="22.5" customHeight="1" x14ac:dyDescent="0.25">
      <c r="A137" s="22">
        <v>117</v>
      </c>
      <c r="B137" s="239"/>
      <c r="C137" s="239"/>
      <c r="D137" s="238"/>
      <c r="E137" s="238"/>
      <c r="F137" s="239"/>
      <c r="G137" s="239"/>
      <c r="H137" s="238"/>
      <c r="I137" s="238"/>
      <c r="J137" s="309">
        <f t="shared" si="5"/>
        <v>0</v>
      </c>
      <c r="K137" s="309"/>
      <c r="L137" s="343"/>
      <c r="M137" s="22">
        <v>117</v>
      </c>
      <c r="N137" s="239"/>
      <c r="O137" s="239"/>
      <c r="P137" s="238"/>
      <c r="Q137" s="238"/>
      <c r="R137" s="239"/>
      <c r="S137" s="239"/>
      <c r="T137" s="23"/>
      <c r="U137" s="256">
        <f t="shared" si="6"/>
        <v>0</v>
      </c>
      <c r="V137" s="257"/>
      <c r="W137"/>
      <c r="X137"/>
    </row>
    <row r="138" spans="1:24" ht="22.5" customHeight="1" x14ac:dyDescent="0.25">
      <c r="A138" s="14">
        <v>118</v>
      </c>
      <c r="B138" s="252"/>
      <c r="C138" s="252"/>
      <c r="D138" s="251"/>
      <c r="E138" s="251"/>
      <c r="F138" s="252"/>
      <c r="G138" s="252"/>
      <c r="H138" s="251"/>
      <c r="I138" s="251"/>
      <c r="J138" s="323">
        <f t="shared" si="5"/>
        <v>0</v>
      </c>
      <c r="K138" s="324"/>
      <c r="L138" s="343"/>
      <c r="M138" s="15">
        <v>118</v>
      </c>
      <c r="N138" s="260"/>
      <c r="O138" s="260"/>
      <c r="P138" s="259"/>
      <c r="Q138" s="259"/>
      <c r="R138" s="260"/>
      <c r="S138" s="260"/>
      <c r="T138" s="24"/>
      <c r="U138" s="340">
        <f t="shared" si="6"/>
        <v>0</v>
      </c>
      <c r="V138" s="341"/>
      <c r="W138"/>
      <c r="X138"/>
    </row>
    <row r="139" spans="1:24" ht="22.5" customHeight="1" x14ac:dyDescent="0.25">
      <c r="A139" s="22">
        <v>119</v>
      </c>
      <c r="B139" s="239"/>
      <c r="C139" s="239"/>
      <c r="D139" s="238"/>
      <c r="E139" s="238"/>
      <c r="F139" s="239"/>
      <c r="G139" s="239"/>
      <c r="H139" s="238"/>
      <c r="I139" s="238"/>
      <c r="J139" s="309">
        <f t="shared" si="5"/>
        <v>0</v>
      </c>
      <c r="K139" s="309"/>
      <c r="L139" s="343"/>
      <c r="M139" s="22">
        <v>119</v>
      </c>
      <c r="N139" s="239"/>
      <c r="O139" s="239"/>
      <c r="P139" s="238"/>
      <c r="Q139" s="238"/>
      <c r="R139" s="239"/>
      <c r="S139" s="239"/>
      <c r="T139" s="23"/>
      <c r="U139" s="256">
        <f t="shared" si="6"/>
        <v>0</v>
      </c>
      <c r="V139" s="257"/>
      <c r="W139"/>
      <c r="X139"/>
    </row>
    <row r="140" spans="1:24" ht="22.5" customHeight="1" x14ac:dyDescent="0.25">
      <c r="A140" s="14">
        <v>120</v>
      </c>
      <c r="B140" s="252"/>
      <c r="C140" s="252"/>
      <c r="D140" s="251"/>
      <c r="E140" s="251"/>
      <c r="F140" s="252"/>
      <c r="G140" s="252"/>
      <c r="H140" s="251"/>
      <c r="I140" s="251"/>
      <c r="J140" s="323">
        <f t="shared" si="5"/>
        <v>0</v>
      </c>
      <c r="K140" s="324"/>
      <c r="L140" s="343"/>
      <c r="M140" s="15">
        <v>120</v>
      </c>
      <c r="N140" s="260"/>
      <c r="O140" s="260"/>
      <c r="P140" s="259"/>
      <c r="Q140" s="259"/>
      <c r="R140" s="260"/>
      <c r="S140" s="260"/>
      <c r="T140" s="24"/>
      <c r="U140" s="340">
        <f t="shared" si="6"/>
        <v>0</v>
      </c>
      <c r="V140" s="341"/>
      <c r="W140"/>
      <c r="X140"/>
    </row>
    <row r="141" spans="1:24" ht="22.5" customHeight="1" x14ac:dyDescent="0.25">
      <c r="A141" s="22">
        <v>121</v>
      </c>
      <c r="B141" s="239"/>
      <c r="C141" s="239"/>
      <c r="D141" s="238"/>
      <c r="E141" s="238"/>
      <c r="F141" s="239"/>
      <c r="G141" s="239"/>
      <c r="H141" s="238"/>
      <c r="I141" s="238"/>
      <c r="J141" s="309">
        <f t="shared" si="5"/>
        <v>0</v>
      </c>
      <c r="K141" s="309"/>
      <c r="L141" s="343"/>
      <c r="M141" s="22">
        <v>121</v>
      </c>
      <c r="N141" s="239"/>
      <c r="O141" s="239"/>
      <c r="P141" s="238"/>
      <c r="Q141" s="238"/>
      <c r="R141" s="239"/>
      <c r="S141" s="239"/>
      <c r="T141" s="23"/>
      <c r="U141" s="256">
        <f t="shared" si="6"/>
        <v>0</v>
      </c>
      <c r="V141" s="257"/>
      <c r="W141"/>
      <c r="X141"/>
    </row>
    <row r="142" spans="1:24" ht="22.5" customHeight="1" x14ac:dyDescent="0.25">
      <c r="A142" s="14">
        <v>122</v>
      </c>
      <c r="B142" s="252"/>
      <c r="C142" s="252"/>
      <c r="D142" s="251"/>
      <c r="E142" s="251"/>
      <c r="F142" s="252"/>
      <c r="G142" s="252"/>
      <c r="H142" s="251"/>
      <c r="I142" s="251"/>
      <c r="J142" s="323">
        <f t="shared" si="5"/>
        <v>0</v>
      </c>
      <c r="K142" s="324"/>
      <c r="L142" s="343"/>
      <c r="M142" s="15">
        <v>122</v>
      </c>
      <c r="N142" s="260"/>
      <c r="O142" s="260"/>
      <c r="P142" s="259"/>
      <c r="Q142" s="259"/>
      <c r="R142" s="260"/>
      <c r="S142" s="260"/>
      <c r="T142" s="24"/>
      <c r="U142" s="340">
        <f t="shared" si="6"/>
        <v>0</v>
      </c>
      <c r="V142" s="341"/>
      <c r="W142"/>
      <c r="X142"/>
    </row>
    <row r="143" spans="1:24" ht="22.5" customHeight="1" x14ac:dyDescent="0.25">
      <c r="A143" s="22">
        <v>123</v>
      </c>
      <c r="B143" s="239"/>
      <c r="C143" s="239"/>
      <c r="D143" s="238"/>
      <c r="E143" s="238"/>
      <c r="F143" s="239"/>
      <c r="G143" s="239"/>
      <c r="H143" s="238"/>
      <c r="I143" s="238"/>
      <c r="J143" s="309">
        <f t="shared" si="5"/>
        <v>0</v>
      </c>
      <c r="K143" s="309"/>
      <c r="L143" s="343"/>
      <c r="M143" s="22">
        <v>123</v>
      </c>
      <c r="N143" s="239"/>
      <c r="O143" s="239"/>
      <c r="P143" s="238"/>
      <c r="Q143" s="238"/>
      <c r="R143" s="239"/>
      <c r="S143" s="239"/>
      <c r="T143" s="23"/>
      <c r="U143" s="256">
        <f t="shared" si="6"/>
        <v>0</v>
      </c>
      <c r="V143" s="257"/>
      <c r="W143"/>
      <c r="X143"/>
    </row>
    <row r="144" spans="1:24" ht="22.5" customHeight="1" x14ac:dyDescent="0.25">
      <c r="A144" s="14">
        <v>124</v>
      </c>
      <c r="B144" s="252"/>
      <c r="C144" s="252"/>
      <c r="D144" s="251"/>
      <c r="E144" s="251"/>
      <c r="F144" s="252"/>
      <c r="G144" s="252"/>
      <c r="H144" s="251"/>
      <c r="I144" s="251"/>
      <c r="J144" s="323">
        <f t="shared" si="5"/>
        <v>0</v>
      </c>
      <c r="K144" s="324"/>
      <c r="L144" s="343"/>
      <c r="M144" s="15">
        <v>124</v>
      </c>
      <c r="N144" s="260"/>
      <c r="O144" s="260"/>
      <c r="P144" s="259"/>
      <c r="Q144" s="259"/>
      <c r="R144" s="260"/>
      <c r="S144" s="260"/>
      <c r="T144" s="24"/>
      <c r="U144" s="340">
        <f t="shared" si="6"/>
        <v>0</v>
      </c>
      <c r="V144" s="341"/>
      <c r="W144"/>
      <c r="X144"/>
    </row>
    <row r="145" spans="1:24" ht="22.5" customHeight="1" x14ac:dyDescent="0.25">
      <c r="A145" s="22">
        <v>125</v>
      </c>
      <c r="B145" s="239"/>
      <c r="C145" s="239"/>
      <c r="D145" s="238"/>
      <c r="E145" s="238"/>
      <c r="F145" s="239"/>
      <c r="G145" s="239"/>
      <c r="H145" s="238"/>
      <c r="I145" s="238"/>
      <c r="J145" s="309">
        <f t="shared" si="5"/>
        <v>0</v>
      </c>
      <c r="K145" s="309"/>
      <c r="L145" s="343"/>
      <c r="M145" s="22">
        <v>125</v>
      </c>
      <c r="N145" s="239"/>
      <c r="O145" s="239"/>
      <c r="P145" s="238"/>
      <c r="Q145" s="238"/>
      <c r="R145" s="239"/>
      <c r="S145" s="239"/>
      <c r="T145" s="23"/>
      <c r="U145" s="256">
        <f t="shared" si="6"/>
        <v>0</v>
      </c>
      <c r="V145" s="257"/>
      <c r="W145"/>
      <c r="X145"/>
    </row>
    <row r="146" spans="1:24" ht="22.5" customHeight="1" x14ac:dyDescent="0.25">
      <c r="A146" s="14">
        <v>126</v>
      </c>
      <c r="B146" s="252"/>
      <c r="C146" s="252"/>
      <c r="D146" s="251"/>
      <c r="E146" s="251"/>
      <c r="F146" s="252"/>
      <c r="G146" s="252"/>
      <c r="H146" s="251"/>
      <c r="I146" s="251"/>
      <c r="J146" s="323">
        <f t="shared" si="5"/>
        <v>0</v>
      </c>
      <c r="K146" s="324"/>
      <c r="L146" s="343"/>
      <c r="M146" s="15">
        <v>126</v>
      </c>
      <c r="N146" s="260"/>
      <c r="O146" s="260"/>
      <c r="P146" s="259"/>
      <c r="Q146" s="259"/>
      <c r="R146" s="260"/>
      <c r="S146" s="260"/>
      <c r="T146" s="24"/>
      <c r="U146" s="340">
        <f t="shared" si="6"/>
        <v>0</v>
      </c>
      <c r="V146" s="341"/>
      <c r="W146"/>
      <c r="X146"/>
    </row>
    <row r="147" spans="1:24" ht="22.5" customHeight="1" x14ac:dyDescent="0.25">
      <c r="A147" s="22">
        <v>127</v>
      </c>
      <c r="B147" s="239"/>
      <c r="C147" s="239"/>
      <c r="D147" s="238"/>
      <c r="E147" s="238"/>
      <c r="F147" s="239"/>
      <c r="G147" s="239"/>
      <c r="H147" s="238"/>
      <c r="I147" s="238"/>
      <c r="J147" s="309">
        <f t="shared" si="5"/>
        <v>0</v>
      </c>
      <c r="K147" s="309"/>
      <c r="L147" s="343"/>
      <c r="M147" s="22">
        <v>127</v>
      </c>
      <c r="N147" s="239"/>
      <c r="O147" s="239"/>
      <c r="P147" s="238"/>
      <c r="Q147" s="238"/>
      <c r="R147" s="239"/>
      <c r="S147" s="239"/>
      <c r="T147" s="23"/>
      <c r="U147" s="256">
        <f t="shared" si="6"/>
        <v>0</v>
      </c>
      <c r="V147" s="257"/>
      <c r="W147"/>
      <c r="X147"/>
    </row>
    <row r="148" spans="1:24" ht="22.5" customHeight="1" x14ac:dyDescent="0.25">
      <c r="A148" s="14">
        <v>128</v>
      </c>
      <c r="B148" s="252"/>
      <c r="C148" s="252"/>
      <c r="D148" s="251"/>
      <c r="E148" s="251"/>
      <c r="F148" s="252"/>
      <c r="G148" s="252"/>
      <c r="H148" s="251"/>
      <c r="I148" s="251"/>
      <c r="J148" s="323">
        <f t="shared" si="5"/>
        <v>0</v>
      </c>
      <c r="K148" s="324"/>
      <c r="L148" s="343"/>
      <c r="M148" s="15">
        <v>128</v>
      </c>
      <c r="N148" s="260"/>
      <c r="O148" s="260"/>
      <c r="P148" s="259"/>
      <c r="Q148" s="259"/>
      <c r="R148" s="260"/>
      <c r="S148" s="260"/>
      <c r="T148" s="24"/>
      <c r="U148" s="340">
        <f t="shared" si="6"/>
        <v>0</v>
      </c>
      <c r="V148" s="341"/>
      <c r="W148"/>
      <c r="X148"/>
    </row>
    <row r="149" spans="1:24" ht="22.5" customHeight="1" x14ac:dyDescent="0.25">
      <c r="A149" s="22">
        <v>129</v>
      </c>
      <c r="B149" s="239"/>
      <c r="C149" s="239"/>
      <c r="D149" s="238"/>
      <c r="E149" s="238"/>
      <c r="F149" s="239"/>
      <c r="G149" s="239"/>
      <c r="H149" s="238"/>
      <c r="I149" s="238"/>
      <c r="J149" s="309">
        <f t="shared" si="5"/>
        <v>0</v>
      </c>
      <c r="K149" s="309"/>
      <c r="L149" s="343"/>
      <c r="M149" s="22">
        <v>129</v>
      </c>
      <c r="N149" s="239"/>
      <c r="O149" s="239"/>
      <c r="P149" s="238"/>
      <c r="Q149" s="238"/>
      <c r="R149" s="239"/>
      <c r="S149" s="239"/>
      <c r="T149" s="23"/>
      <c r="U149" s="256">
        <f t="shared" si="6"/>
        <v>0</v>
      </c>
      <c r="V149" s="257"/>
      <c r="W149"/>
      <c r="X149"/>
    </row>
    <row r="150" spans="1:24" ht="22.5" customHeight="1" x14ac:dyDescent="0.25">
      <c r="A150" s="14">
        <v>130</v>
      </c>
      <c r="B150" s="252"/>
      <c r="C150" s="252"/>
      <c r="D150" s="251"/>
      <c r="E150" s="251"/>
      <c r="F150" s="252"/>
      <c r="G150" s="252"/>
      <c r="H150" s="251"/>
      <c r="I150" s="251"/>
      <c r="J150" s="323">
        <f t="shared" ref="J150:J213" si="7">D150*F150+H150</f>
        <v>0</v>
      </c>
      <c r="K150" s="324"/>
      <c r="L150" s="343"/>
      <c r="M150" s="15">
        <v>130</v>
      </c>
      <c r="N150" s="260"/>
      <c r="O150" s="260"/>
      <c r="P150" s="259"/>
      <c r="Q150" s="259"/>
      <c r="R150" s="260"/>
      <c r="S150" s="260"/>
      <c r="T150" s="24"/>
      <c r="U150" s="340">
        <f t="shared" ref="U150:U170" si="8">P150+R150</f>
        <v>0</v>
      </c>
      <c r="V150" s="341"/>
      <c r="W150"/>
      <c r="X150"/>
    </row>
    <row r="151" spans="1:24" ht="22.5" customHeight="1" x14ac:dyDescent="0.25">
      <c r="A151" s="22">
        <v>131</v>
      </c>
      <c r="B151" s="239"/>
      <c r="C151" s="239"/>
      <c r="D151" s="238"/>
      <c r="E151" s="238"/>
      <c r="F151" s="239"/>
      <c r="G151" s="239"/>
      <c r="H151" s="238"/>
      <c r="I151" s="238"/>
      <c r="J151" s="309">
        <f t="shared" si="7"/>
        <v>0</v>
      </c>
      <c r="K151" s="309"/>
      <c r="L151" s="343"/>
      <c r="M151" s="22">
        <v>131</v>
      </c>
      <c r="N151" s="239"/>
      <c r="O151" s="239"/>
      <c r="P151" s="238"/>
      <c r="Q151" s="238"/>
      <c r="R151" s="239"/>
      <c r="S151" s="239"/>
      <c r="T151" s="23"/>
      <c r="U151" s="256">
        <f t="shared" si="8"/>
        <v>0</v>
      </c>
      <c r="V151" s="257"/>
      <c r="W151"/>
      <c r="X151"/>
    </row>
    <row r="152" spans="1:24" ht="22.5" customHeight="1" x14ac:dyDescent="0.25">
      <c r="A152" s="14">
        <v>132</v>
      </c>
      <c r="B152" s="252"/>
      <c r="C152" s="252"/>
      <c r="D152" s="251"/>
      <c r="E152" s="251"/>
      <c r="F152" s="252"/>
      <c r="G152" s="252"/>
      <c r="H152" s="251"/>
      <c r="I152" s="251"/>
      <c r="J152" s="323">
        <f t="shared" si="7"/>
        <v>0</v>
      </c>
      <c r="K152" s="324"/>
      <c r="L152" s="343"/>
      <c r="M152" s="15">
        <v>132</v>
      </c>
      <c r="N152" s="260"/>
      <c r="O152" s="260"/>
      <c r="P152" s="259"/>
      <c r="Q152" s="259"/>
      <c r="R152" s="260"/>
      <c r="S152" s="260"/>
      <c r="T152" s="24"/>
      <c r="U152" s="340">
        <f t="shared" si="8"/>
        <v>0</v>
      </c>
      <c r="V152" s="341"/>
      <c r="W152"/>
      <c r="X152"/>
    </row>
    <row r="153" spans="1:24" ht="22.5" customHeight="1" x14ac:dyDescent="0.25">
      <c r="A153" s="22">
        <v>133</v>
      </c>
      <c r="B153" s="239"/>
      <c r="C153" s="239"/>
      <c r="D153" s="238"/>
      <c r="E153" s="238"/>
      <c r="F153" s="239"/>
      <c r="G153" s="239"/>
      <c r="H153" s="238"/>
      <c r="I153" s="238"/>
      <c r="J153" s="309">
        <f t="shared" si="7"/>
        <v>0</v>
      </c>
      <c r="K153" s="309"/>
      <c r="L153" s="343"/>
      <c r="M153" s="22">
        <v>133</v>
      </c>
      <c r="N153" s="239"/>
      <c r="O153" s="239"/>
      <c r="P153" s="238"/>
      <c r="Q153" s="238"/>
      <c r="R153" s="239"/>
      <c r="S153" s="239"/>
      <c r="T153" s="23"/>
      <c r="U153" s="256">
        <f t="shared" si="8"/>
        <v>0</v>
      </c>
      <c r="V153" s="257"/>
      <c r="W153"/>
      <c r="X153"/>
    </row>
    <row r="154" spans="1:24" ht="22.5" customHeight="1" x14ac:dyDescent="0.25">
      <c r="A154" s="14">
        <v>134</v>
      </c>
      <c r="B154" s="252"/>
      <c r="C154" s="252"/>
      <c r="D154" s="251"/>
      <c r="E154" s="251"/>
      <c r="F154" s="252"/>
      <c r="G154" s="252"/>
      <c r="H154" s="251"/>
      <c r="I154" s="251"/>
      <c r="J154" s="323">
        <f t="shared" si="7"/>
        <v>0</v>
      </c>
      <c r="K154" s="324"/>
      <c r="L154" s="343"/>
      <c r="M154" s="15">
        <v>134</v>
      </c>
      <c r="N154" s="260"/>
      <c r="O154" s="260"/>
      <c r="P154" s="259"/>
      <c r="Q154" s="259"/>
      <c r="R154" s="260"/>
      <c r="S154" s="260"/>
      <c r="T154" s="24"/>
      <c r="U154" s="340">
        <f t="shared" si="8"/>
        <v>0</v>
      </c>
      <c r="V154" s="341"/>
      <c r="W154"/>
      <c r="X154"/>
    </row>
    <row r="155" spans="1:24" ht="22.5" customHeight="1" x14ac:dyDescent="0.25">
      <c r="A155" s="22">
        <v>135</v>
      </c>
      <c r="B155" s="239"/>
      <c r="C155" s="239"/>
      <c r="D155" s="238"/>
      <c r="E155" s="238"/>
      <c r="F155" s="239"/>
      <c r="G155" s="239"/>
      <c r="H155" s="238"/>
      <c r="I155" s="238"/>
      <c r="J155" s="309">
        <f t="shared" si="7"/>
        <v>0</v>
      </c>
      <c r="K155" s="309"/>
      <c r="L155" s="343"/>
      <c r="M155" s="22">
        <v>135</v>
      </c>
      <c r="N155" s="239"/>
      <c r="O155" s="239"/>
      <c r="P155" s="238"/>
      <c r="Q155" s="238"/>
      <c r="R155" s="239"/>
      <c r="S155" s="239"/>
      <c r="T155" s="23"/>
      <c r="U155" s="256">
        <f t="shared" si="8"/>
        <v>0</v>
      </c>
      <c r="V155" s="257"/>
      <c r="W155"/>
      <c r="X155"/>
    </row>
    <row r="156" spans="1:24" ht="22.5" customHeight="1" x14ac:dyDescent="0.25">
      <c r="A156" s="14">
        <v>136</v>
      </c>
      <c r="B156" s="252"/>
      <c r="C156" s="252"/>
      <c r="D156" s="251"/>
      <c r="E156" s="251"/>
      <c r="F156" s="252"/>
      <c r="G156" s="252"/>
      <c r="H156" s="251"/>
      <c r="I156" s="251"/>
      <c r="J156" s="323">
        <f t="shared" si="7"/>
        <v>0</v>
      </c>
      <c r="K156" s="324"/>
      <c r="L156" s="343"/>
      <c r="M156" s="15">
        <v>136</v>
      </c>
      <c r="N156" s="260"/>
      <c r="O156" s="260"/>
      <c r="P156" s="259"/>
      <c r="Q156" s="259"/>
      <c r="R156" s="260"/>
      <c r="S156" s="260"/>
      <c r="T156" s="24"/>
      <c r="U156" s="340">
        <f t="shared" si="8"/>
        <v>0</v>
      </c>
      <c r="V156" s="341"/>
      <c r="W156"/>
      <c r="X156"/>
    </row>
    <row r="157" spans="1:24" ht="22.5" customHeight="1" x14ac:dyDescent="0.25">
      <c r="A157" s="22">
        <v>137</v>
      </c>
      <c r="B157" s="239"/>
      <c r="C157" s="239"/>
      <c r="D157" s="238"/>
      <c r="E157" s="238"/>
      <c r="F157" s="239"/>
      <c r="G157" s="239"/>
      <c r="H157" s="238"/>
      <c r="I157" s="238"/>
      <c r="J157" s="309">
        <f t="shared" si="7"/>
        <v>0</v>
      </c>
      <c r="K157" s="309"/>
      <c r="L157" s="343"/>
      <c r="M157" s="22">
        <v>137</v>
      </c>
      <c r="N157" s="239"/>
      <c r="O157" s="239"/>
      <c r="P157" s="238"/>
      <c r="Q157" s="238"/>
      <c r="R157" s="239"/>
      <c r="S157" s="239"/>
      <c r="T157" s="23"/>
      <c r="U157" s="256">
        <f t="shared" si="8"/>
        <v>0</v>
      </c>
      <c r="V157" s="257"/>
      <c r="W157"/>
      <c r="X157"/>
    </row>
    <row r="158" spans="1:24" ht="22.5" customHeight="1" x14ac:dyDescent="0.25">
      <c r="A158" s="14">
        <v>138</v>
      </c>
      <c r="B158" s="252"/>
      <c r="C158" s="252"/>
      <c r="D158" s="251"/>
      <c r="E158" s="251"/>
      <c r="F158" s="252"/>
      <c r="G158" s="252"/>
      <c r="H158" s="251"/>
      <c r="I158" s="251"/>
      <c r="J158" s="323">
        <f t="shared" si="7"/>
        <v>0</v>
      </c>
      <c r="K158" s="324"/>
      <c r="L158" s="343"/>
      <c r="M158" s="15">
        <v>138</v>
      </c>
      <c r="N158" s="260"/>
      <c r="O158" s="260"/>
      <c r="P158" s="259"/>
      <c r="Q158" s="259"/>
      <c r="R158" s="260"/>
      <c r="S158" s="260"/>
      <c r="T158" s="24"/>
      <c r="U158" s="340">
        <f t="shared" si="8"/>
        <v>0</v>
      </c>
      <c r="V158" s="341"/>
      <c r="W158"/>
      <c r="X158"/>
    </row>
    <row r="159" spans="1:24" ht="22.5" customHeight="1" x14ac:dyDescent="0.25">
      <c r="A159" s="22">
        <v>139</v>
      </c>
      <c r="B159" s="239"/>
      <c r="C159" s="239"/>
      <c r="D159" s="238"/>
      <c r="E159" s="238"/>
      <c r="F159" s="239"/>
      <c r="G159" s="239"/>
      <c r="H159" s="238"/>
      <c r="I159" s="238"/>
      <c r="J159" s="309">
        <f t="shared" si="7"/>
        <v>0</v>
      </c>
      <c r="K159" s="309"/>
      <c r="L159" s="343"/>
      <c r="M159" s="22">
        <v>139</v>
      </c>
      <c r="N159" s="239"/>
      <c r="O159" s="239"/>
      <c r="P159" s="238"/>
      <c r="Q159" s="238"/>
      <c r="R159" s="239"/>
      <c r="S159" s="239"/>
      <c r="T159" s="23"/>
      <c r="U159" s="256">
        <f t="shared" si="8"/>
        <v>0</v>
      </c>
      <c r="V159" s="257"/>
      <c r="W159"/>
      <c r="X159"/>
    </row>
    <row r="160" spans="1:24" ht="22.5" customHeight="1" x14ac:dyDescent="0.25">
      <c r="A160" s="14">
        <v>140</v>
      </c>
      <c r="B160" s="252"/>
      <c r="C160" s="252"/>
      <c r="D160" s="251"/>
      <c r="E160" s="251"/>
      <c r="F160" s="252"/>
      <c r="G160" s="252"/>
      <c r="H160" s="251"/>
      <c r="I160" s="251"/>
      <c r="J160" s="323">
        <f t="shared" si="7"/>
        <v>0</v>
      </c>
      <c r="K160" s="324"/>
      <c r="L160" s="343"/>
      <c r="M160" s="15">
        <v>140</v>
      </c>
      <c r="N160" s="260"/>
      <c r="O160" s="260"/>
      <c r="P160" s="259"/>
      <c r="Q160" s="259"/>
      <c r="R160" s="260"/>
      <c r="S160" s="260"/>
      <c r="T160" s="24"/>
      <c r="U160" s="340">
        <f t="shared" si="8"/>
        <v>0</v>
      </c>
      <c r="V160" s="341"/>
      <c r="W160"/>
      <c r="X160"/>
    </row>
    <row r="161" spans="1:24" ht="22.5" customHeight="1" x14ac:dyDescent="0.25">
      <c r="A161" s="22">
        <v>141</v>
      </c>
      <c r="B161" s="239"/>
      <c r="C161" s="239"/>
      <c r="D161" s="238"/>
      <c r="E161" s="238"/>
      <c r="F161" s="239"/>
      <c r="G161" s="239"/>
      <c r="H161" s="238"/>
      <c r="I161" s="238"/>
      <c r="J161" s="309">
        <f t="shared" si="7"/>
        <v>0</v>
      </c>
      <c r="K161" s="309"/>
      <c r="L161" s="343"/>
      <c r="M161" s="22">
        <v>141</v>
      </c>
      <c r="N161" s="239"/>
      <c r="O161" s="239"/>
      <c r="P161" s="238"/>
      <c r="Q161" s="238"/>
      <c r="R161" s="239"/>
      <c r="S161" s="239"/>
      <c r="T161" s="23"/>
      <c r="U161" s="256">
        <f t="shared" si="8"/>
        <v>0</v>
      </c>
      <c r="V161" s="257"/>
      <c r="W161"/>
      <c r="X161"/>
    </row>
    <row r="162" spans="1:24" ht="22.5" customHeight="1" x14ac:dyDescent="0.25">
      <c r="A162" s="14">
        <v>142</v>
      </c>
      <c r="B162" s="252"/>
      <c r="C162" s="252"/>
      <c r="D162" s="251"/>
      <c r="E162" s="251"/>
      <c r="F162" s="252"/>
      <c r="G162" s="252"/>
      <c r="H162" s="251"/>
      <c r="I162" s="251"/>
      <c r="J162" s="323">
        <f t="shared" si="7"/>
        <v>0</v>
      </c>
      <c r="K162" s="324"/>
      <c r="L162" s="343"/>
      <c r="M162" s="15">
        <v>142</v>
      </c>
      <c r="N162" s="260"/>
      <c r="O162" s="260"/>
      <c r="P162" s="259"/>
      <c r="Q162" s="259"/>
      <c r="R162" s="260"/>
      <c r="S162" s="260"/>
      <c r="T162" s="24"/>
      <c r="U162" s="340">
        <f t="shared" si="8"/>
        <v>0</v>
      </c>
      <c r="V162" s="341"/>
      <c r="W162"/>
      <c r="X162"/>
    </row>
    <row r="163" spans="1:24" ht="22.5" customHeight="1" x14ac:dyDescent="0.25">
      <c r="A163" s="22">
        <v>143</v>
      </c>
      <c r="B163" s="239"/>
      <c r="C163" s="239"/>
      <c r="D163" s="238"/>
      <c r="E163" s="238"/>
      <c r="F163" s="239"/>
      <c r="G163" s="239"/>
      <c r="H163" s="238"/>
      <c r="I163" s="238"/>
      <c r="J163" s="309">
        <f t="shared" si="7"/>
        <v>0</v>
      </c>
      <c r="K163" s="309"/>
      <c r="L163" s="343"/>
      <c r="M163" s="22">
        <v>143</v>
      </c>
      <c r="N163" s="239"/>
      <c r="O163" s="239"/>
      <c r="P163" s="238"/>
      <c r="Q163" s="238"/>
      <c r="R163" s="239"/>
      <c r="S163" s="239"/>
      <c r="T163" s="23"/>
      <c r="U163" s="256">
        <f t="shared" si="8"/>
        <v>0</v>
      </c>
      <c r="V163" s="257"/>
      <c r="W163"/>
      <c r="X163"/>
    </row>
    <row r="164" spans="1:24" ht="22.5" customHeight="1" x14ac:dyDescent="0.25">
      <c r="A164" s="14">
        <v>144</v>
      </c>
      <c r="B164" s="252"/>
      <c r="C164" s="252"/>
      <c r="D164" s="251"/>
      <c r="E164" s="251"/>
      <c r="F164" s="252"/>
      <c r="G164" s="252"/>
      <c r="H164" s="251"/>
      <c r="I164" s="251"/>
      <c r="J164" s="323">
        <f t="shared" si="7"/>
        <v>0</v>
      </c>
      <c r="K164" s="324"/>
      <c r="L164" s="343"/>
      <c r="M164" s="15">
        <v>144</v>
      </c>
      <c r="N164" s="260"/>
      <c r="O164" s="260"/>
      <c r="P164" s="259"/>
      <c r="Q164" s="259"/>
      <c r="R164" s="260"/>
      <c r="S164" s="260"/>
      <c r="T164" s="24"/>
      <c r="U164" s="340">
        <f t="shared" si="8"/>
        <v>0</v>
      </c>
      <c r="V164" s="341"/>
      <c r="W164"/>
      <c r="X164"/>
    </row>
    <row r="165" spans="1:24" ht="22.5" customHeight="1" x14ac:dyDescent="0.25">
      <c r="A165" s="22">
        <v>145</v>
      </c>
      <c r="B165" s="239"/>
      <c r="C165" s="239"/>
      <c r="D165" s="238"/>
      <c r="E165" s="238"/>
      <c r="F165" s="239"/>
      <c r="G165" s="239"/>
      <c r="H165" s="238"/>
      <c r="I165" s="238"/>
      <c r="J165" s="309">
        <f t="shared" si="7"/>
        <v>0</v>
      </c>
      <c r="K165" s="309"/>
      <c r="L165" s="343"/>
      <c r="M165" s="22">
        <v>145</v>
      </c>
      <c r="N165" s="239"/>
      <c r="O165" s="239"/>
      <c r="P165" s="238"/>
      <c r="Q165" s="238"/>
      <c r="R165" s="239"/>
      <c r="S165" s="239"/>
      <c r="T165" s="23"/>
      <c r="U165" s="256">
        <f t="shared" si="8"/>
        <v>0</v>
      </c>
      <c r="V165" s="257"/>
      <c r="W165"/>
      <c r="X165"/>
    </row>
    <row r="166" spans="1:24" ht="22.5" customHeight="1" x14ac:dyDescent="0.25">
      <c r="A166" s="14">
        <v>146</v>
      </c>
      <c r="B166" s="252"/>
      <c r="C166" s="252"/>
      <c r="D166" s="251"/>
      <c r="E166" s="251"/>
      <c r="F166" s="252"/>
      <c r="G166" s="252"/>
      <c r="H166" s="251"/>
      <c r="I166" s="251"/>
      <c r="J166" s="323">
        <f t="shared" si="7"/>
        <v>0</v>
      </c>
      <c r="K166" s="324"/>
      <c r="L166" s="343"/>
      <c r="M166" s="15">
        <v>146</v>
      </c>
      <c r="N166" s="260"/>
      <c r="O166" s="260"/>
      <c r="P166" s="259"/>
      <c r="Q166" s="259"/>
      <c r="R166" s="260"/>
      <c r="S166" s="260"/>
      <c r="T166" s="24"/>
      <c r="U166" s="340">
        <f t="shared" si="8"/>
        <v>0</v>
      </c>
      <c r="V166" s="341"/>
      <c r="W166"/>
      <c r="X166"/>
    </row>
    <row r="167" spans="1:24" ht="22.5" customHeight="1" x14ac:dyDescent="0.25">
      <c r="A167" s="22">
        <v>147</v>
      </c>
      <c r="B167" s="239"/>
      <c r="C167" s="239"/>
      <c r="D167" s="238"/>
      <c r="E167" s="238"/>
      <c r="F167" s="239"/>
      <c r="G167" s="239"/>
      <c r="H167" s="238"/>
      <c r="I167" s="238"/>
      <c r="J167" s="309">
        <f t="shared" si="7"/>
        <v>0</v>
      </c>
      <c r="K167" s="309"/>
      <c r="L167" s="343"/>
      <c r="M167" s="22">
        <v>147</v>
      </c>
      <c r="N167" s="239"/>
      <c r="O167" s="239"/>
      <c r="P167" s="238"/>
      <c r="Q167" s="238"/>
      <c r="R167" s="239"/>
      <c r="S167" s="239"/>
      <c r="T167" s="23"/>
      <c r="U167" s="256">
        <f t="shared" si="8"/>
        <v>0</v>
      </c>
      <c r="V167" s="257"/>
      <c r="W167"/>
      <c r="X167"/>
    </row>
    <row r="168" spans="1:24" ht="22.5" customHeight="1" x14ac:dyDescent="0.25">
      <c r="A168" s="14">
        <v>148</v>
      </c>
      <c r="B168" s="252"/>
      <c r="C168" s="252"/>
      <c r="D168" s="251"/>
      <c r="E168" s="251"/>
      <c r="F168" s="252"/>
      <c r="G168" s="252"/>
      <c r="H168" s="251"/>
      <c r="I168" s="251"/>
      <c r="J168" s="323">
        <f t="shared" si="7"/>
        <v>0</v>
      </c>
      <c r="K168" s="324"/>
      <c r="L168" s="343"/>
      <c r="M168" s="15">
        <v>148</v>
      </c>
      <c r="N168" s="260"/>
      <c r="O168" s="260"/>
      <c r="P168" s="259"/>
      <c r="Q168" s="259"/>
      <c r="R168" s="260"/>
      <c r="S168" s="260"/>
      <c r="T168" s="24"/>
      <c r="U168" s="340">
        <f t="shared" si="8"/>
        <v>0</v>
      </c>
      <c r="V168" s="341"/>
      <c r="W168"/>
      <c r="X168"/>
    </row>
    <row r="169" spans="1:24" ht="22.5" customHeight="1" x14ac:dyDescent="0.25">
      <c r="A169" s="22">
        <v>149</v>
      </c>
      <c r="B169" s="239"/>
      <c r="C169" s="239"/>
      <c r="D169" s="238"/>
      <c r="E169" s="238"/>
      <c r="F169" s="239"/>
      <c r="G169" s="239"/>
      <c r="H169" s="238"/>
      <c r="I169" s="238"/>
      <c r="J169" s="309">
        <f t="shared" si="7"/>
        <v>0</v>
      </c>
      <c r="K169" s="309"/>
      <c r="L169" s="343"/>
      <c r="M169" s="22">
        <v>149</v>
      </c>
      <c r="N169" s="239"/>
      <c r="O169" s="239"/>
      <c r="P169" s="238"/>
      <c r="Q169" s="238"/>
      <c r="R169" s="239"/>
      <c r="S169" s="239"/>
      <c r="T169" s="23"/>
      <c r="U169" s="256">
        <f t="shared" si="8"/>
        <v>0</v>
      </c>
      <c r="V169" s="257"/>
      <c r="W169"/>
      <c r="X169"/>
    </row>
    <row r="170" spans="1:24" ht="22.5" customHeight="1" x14ac:dyDescent="0.25">
      <c r="A170" s="14">
        <v>150</v>
      </c>
      <c r="B170" s="252"/>
      <c r="C170" s="252"/>
      <c r="D170" s="251"/>
      <c r="E170" s="251"/>
      <c r="F170" s="252"/>
      <c r="G170" s="252"/>
      <c r="H170" s="251"/>
      <c r="I170" s="251"/>
      <c r="J170" s="323">
        <f t="shared" si="7"/>
        <v>0</v>
      </c>
      <c r="K170" s="324"/>
      <c r="L170" s="343"/>
      <c r="M170" s="15">
        <v>150</v>
      </c>
      <c r="N170" s="260"/>
      <c r="O170" s="260"/>
      <c r="P170" s="259"/>
      <c r="Q170" s="259"/>
      <c r="R170" s="260"/>
      <c r="S170" s="260"/>
      <c r="T170" s="24"/>
      <c r="U170" s="340">
        <f t="shared" si="8"/>
        <v>0</v>
      </c>
      <c r="V170" s="341"/>
      <c r="W170"/>
      <c r="X170"/>
    </row>
    <row r="171" spans="1:24" ht="22.5" customHeight="1" x14ac:dyDescent="0.25">
      <c r="A171" s="22">
        <v>151</v>
      </c>
      <c r="B171" s="239"/>
      <c r="C171" s="239"/>
      <c r="D171" s="238"/>
      <c r="E171" s="238"/>
      <c r="F171" s="239"/>
      <c r="G171" s="239"/>
      <c r="H171" s="238"/>
      <c r="I171" s="238"/>
      <c r="J171" s="309">
        <f t="shared" si="7"/>
        <v>0</v>
      </c>
      <c r="K171" s="309"/>
      <c r="L171" s="343"/>
      <c r="M171" s="16"/>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7"/>
        <v>0</v>
      </c>
      <c r="K172" s="324"/>
      <c r="L172" s="343"/>
      <c r="M172" s="16"/>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7"/>
        <v>0</v>
      </c>
      <c r="K173" s="309"/>
      <c r="L173" s="343"/>
      <c r="M173" s="16"/>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7"/>
        <v>0</v>
      </c>
      <c r="K174" s="324"/>
      <c r="L174" s="343"/>
      <c r="M174" s="16"/>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7"/>
        <v>0</v>
      </c>
      <c r="K175" s="309"/>
      <c r="L175" s="343"/>
      <c r="M175" s="16"/>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7"/>
        <v>0</v>
      </c>
      <c r="K176" s="324"/>
      <c r="L176" s="343"/>
      <c r="M176" s="16"/>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7"/>
        <v>0</v>
      </c>
      <c r="K177" s="309"/>
      <c r="L177" s="343"/>
      <c r="M177" s="16"/>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7"/>
        <v>0</v>
      </c>
      <c r="K178" s="324"/>
      <c r="L178" s="343"/>
      <c r="M178" s="16"/>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7"/>
        <v>0</v>
      </c>
      <c r="K179" s="309"/>
      <c r="L179" s="343"/>
      <c r="M179" s="16"/>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7"/>
        <v>0</v>
      </c>
      <c r="K180" s="324"/>
      <c r="L180" s="343"/>
      <c r="M180" s="16"/>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7"/>
        <v>0</v>
      </c>
      <c r="K181" s="309"/>
      <c r="L181" s="343"/>
      <c r="M181" s="16"/>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7"/>
        <v>0</v>
      </c>
      <c r="K182" s="324"/>
      <c r="L182" s="343"/>
      <c r="M182" s="16"/>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7"/>
        <v>0</v>
      </c>
      <c r="K183" s="309"/>
      <c r="L183" s="343"/>
      <c r="M183" s="16"/>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7"/>
        <v>0</v>
      </c>
      <c r="K184" s="324"/>
      <c r="L184" s="343"/>
      <c r="M184" s="16"/>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7"/>
        <v>0</v>
      </c>
      <c r="K185" s="309"/>
      <c r="L185" s="343"/>
      <c r="M185" s="16"/>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7"/>
        <v>0</v>
      </c>
      <c r="K186" s="324"/>
      <c r="L186" s="343"/>
      <c r="M186" s="16"/>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7"/>
        <v>0</v>
      </c>
      <c r="K187" s="309"/>
      <c r="L187" s="343"/>
      <c r="M187" s="16"/>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7"/>
        <v>0</v>
      </c>
      <c r="K188" s="324"/>
      <c r="L188" s="343"/>
      <c r="M188" s="16"/>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7"/>
        <v>0</v>
      </c>
      <c r="K189" s="309"/>
      <c r="L189" s="343"/>
      <c r="M189" s="16"/>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7"/>
        <v>0</v>
      </c>
      <c r="K190" s="324"/>
      <c r="L190" s="343"/>
      <c r="M190" s="16"/>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7"/>
        <v>0</v>
      </c>
      <c r="K191" s="309"/>
      <c r="L191" s="343"/>
      <c r="M191" s="16"/>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7"/>
        <v>0</v>
      </c>
      <c r="K192" s="324"/>
      <c r="L192" s="343"/>
      <c r="M192" s="16"/>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7"/>
        <v>0</v>
      </c>
      <c r="K193" s="309"/>
      <c r="L193" s="343"/>
      <c r="M193" s="16"/>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7"/>
        <v>0</v>
      </c>
      <c r="K194" s="324"/>
      <c r="L194" s="343"/>
      <c r="M194" s="16"/>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7"/>
        <v>0</v>
      </c>
      <c r="K195" s="309"/>
      <c r="L195" s="343"/>
      <c r="M195" s="16"/>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7"/>
        <v>0</v>
      </c>
      <c r="K196" s="324"/>
      <c r="L196" s="343"/>
      <c r="M196" s="16"/>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7"/>
        <v>0</v>
      </c>
      <c r="K197" s="309"/>
      <c r="L197" s="343"/>
      <c r="M197" s="16"/>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7"/>
        <v>0</v>
      </c>
      <c r="K198" s="324"/>
      <c r="L198" s="343"/>
      <c r="M198" s="16"/>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7"/>
        <v>0</v>
      </c>
      <c r="K199" s="309"/>
      <c r="L199" s="343"/>
      <c r="M199" s="16"/>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7"/>
        <v>0</v>
      </c>
      <c r="K200" s="324"/>
      <c r="L200" s="343"/>
      <c r="M200" s="16"/>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7"/>
        <v>0</v>
      </c>
      <c r="K201" s="309"/>
      <c r="L201" s="343"/>
      <c r="M201" s="16"/>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7"/>
        <v>0</v>
      </c>
      <c r="K202" s="324"/>
      <c r="L202" s="343"/>
      <c r="M202" s="16"/>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7"/>
        <v>0</v>
      </c>
      <c r="K203" s="309"/>
      <c r="L203" s="343"/>
      <c r="M203" s="16"/>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7"/>
        <v>0</v>
      </c>
      <c r="K204" s="324"/>
      <c r="L204" s="343"/>
      <c r="M204" s="16"/>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7"/>
        <v>0</v>
      </c>
      <c r="K205" s="309"/>
      <c r="L205" s="343"/>
      <c r="M205" s="16"/>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7"/>
        <v>0</v>
      </c>
      <c r="K206" s="324"/>
      <c r="L206" s="343"/>
      <c r="M206" s="16"/>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7"/>
        <v>0</v>
      </c>
      <c r="K207" s="309"/>
      <c r="L207" s="343"/>
      <c r="M207" s="16"/>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7"/>
        <v>0</v>
      </c>
      <c r="K208" s="324"/>
      <c r="L208" s="343"/>
      <c r="M208" s="16"/>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7"/>
        <v>0</v>
      </c>
      <c r="K209" s="309"/>
      <c r="L209" s="343"/>
      <c r="M209" s="16"/>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7"/>
        <v>0</v>
      </c>
      <c r="K210" s="324"/>
      <c r="L210" s="343"/>
      <c r="M210" s="16"/>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7"/>
        <v>0</v>
      </c>
      <c r="K211" s="309"/>
      <c r="L211" s="343"/>
      <c r="M211" s="16"/>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7"/>
        <v>0</v>
      </c>
      <c r="K212" s="324"/>
      <c r="L212" s="343"/>
      <c r="M212" s="16"/>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7"/>
        <v>0</v>
      </c>
      <c r="K213" s="309"/>
      <c r="L213" s="343"/>
      <c r="M213" s="16"/>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9">D214*F214+H214</f>
        <v>0</v>
      </c>
      <c r="K214" s="324"/>
      <c r="L214" s="343"/>
      <c r="M214" s="16"/>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9"/>
        <v>0</v>
      </c>
      <c r="K215" s="309"/>
      <c r="L215" s="343"/>
      <c r="M215" s="16"/>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9"/>
        <v>0</v>
      </c>
      <c r="K216" s="324"/>
      <c r="L216" s="343"/>
      <c r="M216" s="16"/>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9"/>
        <v>0</v>
      </c>
      <c r="K217" s="309"/>
      <c r="L217" s="343"/>
      <c r="M217" s="16"/>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9"/>
        <v>0</v>
      </c>
      <c r="K218" s="324"/>
      <c r="L218" s="343"/>
      <c r="M218" s="16"/>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9"/>
        <v>0</v>
      </c>
      <c r="K219" s="309"/>
      <c r="L219" s="343"/>
      <c r="M219" s="16"/>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9"/>
        <v>0</v>
      </c>
      <c r="K220" s="324"/>
      <c r="L220" s="343"/>
      <c r="M220" s="16"/>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sheet="1" objects="1" scenarios="1"/>
  <mergeCells count="2108">
    <mergeCell ref="F239:G239"/>
    <mergeCell ref="H239:I239"/>
    <mergeCell ref="J239:K239"/>
    <mergeCell ref="N239:O239"/>
    <mergeCell ref="P237:Q237"/>
    <mergeCell ref="R237:S237"/>
    <mergeCell ref="T237:U237"/>
    <mergeCell ref="V237:X237"/>
    <mergeCell ref="B238:C238"/>
    <mergeCell ref="D238:E238"/>
    <mergeCell ref="F238:G238"/>
    <mergeCell ref="H238:I238"/>
    <mergeCell ref="J238:K238"/>
    <mergeCell ref="N238:O238"/>
    <mergeCell ref="P238:Q238"/>
    <mergeCell ref="R238:S238"/>
    <mergeCell ref="T238:U238"/>
    <mergeCell ref="V238:X238"/>
    <mergeCell ref="P241:Q241"/>
    <mergeCell ref="R241:S241"/>
    <mergeCell ref="T241:U241"/>
    <mergeCell ref="V241:X241"/>
    <mergeCell ref="P240:Q240"/>
    <mergeCell ref="R240:S240"/>
    <mergeCell ref="T240:U240"/>
    <mergeCell ref="V240:X240"/>
    <mergeCell ref="B241:C241"/>
    <mergeCell ref="D241:E241"/>
    <mergeCell ref="F241:G241"/>
    <mergeCell ref="H241:I241"/>
    <mergeCell ref="J241:K241"/>
    <mergeCell ref="N241:O241"/>
    <mergeCell ref="P239:Q239"/>
    <mergeCell ref="R239:S239"/>
    <mergeCell ref="B237:C237"/>
    <mergeCell ref="D237:E237"/>
    <mergeCell ref="F237:G237"/>
    <mergeCell ref="H237:I237"/>
    <mergeCell ref="J237:K237"/>
    <mergeCell ref="N237:O237"/>
    <mergeCell ref="T239:U239"/>
    <mergeCell ref="V239:X239"/>
    <mergeCell ref="B240:C240"/>
    <mergeCell ref="D240:E240"/>
    <mergeCell ref="F240:G240"/>
    <mergeCell ref="H240:I240"/>
    <mergeCell ref="J240:K240"/>
    <mergeCell ref="N240:O240"/>
    <mergeCell ref="B239:C239"/>
    <mergeCell ref="D239:E239"/>
    <mergeCell ref="P235:Q235"/>
    <mergeCell ref="R235:S235"/>
    <mergeCell ref="T235:U235"/>
    <mergeCell ref="V235:X235"/>
    <mergeCell ref="B236:C236"/>
    <mergeCell ref="D236:E236"/>
    <mergeCell ref="F236:G236"/>
    <mergeCell ref="H236:I236"/>
    <mergeCell ref="J236:K236"/>
    <mergeCell ref="N236:O236"/>
    <mergeCell ref="P234:Q234"/>
    <mergeCell ref="R234:S234"/>
    <mergeCell ref="T234:U234"/>
    <mergeCell ref="V234:X234"/>
    <mergeCell ref="B235:C235"/>
    <mergeCell ref="D235:E235"/>
    <mergeCell ref="F235:G235"/>
    <mergeCell ref="H235:I235"/>
    <mergeCell ref="J235:K235"/>
    <mergeCell ref="N235:O235"/>
    <mergeCell ref="P236:Q236"/>
    <mergeCell ref="R236:S236"/>
    <mergeCell ref="T236:U236"/>
    <mergeCell ref="V236:X236"/>
    <mergeCell ref="P233:Q233"/>
    <mergeCell ref="R233:S233"/>
    <mergeCell ref="T233:U233"/>
    <mergeCell ref="V233:X233"/>
    <mergeCell ref="B234:C234"/>
    <mergeCell ref="D234:E234"/>
    <mergeCell ref="F234:G234"/>
    <mergeCell ref="H234:I234"/>
    <mergeCell ref="J234:K234"/>
    <mergeCell ref="N234:O234"/>
    <mergeCell ref="P232:Q232"/>
    <mergeCell ref="R232:S232"/>
    <mergeCell ref="T232:U232"/>
    <mergeCell ref="V232:X232"/>
    <mergeCell ref="B233:C233"/>
    <mergeCell ref="D233:E233"/>
    <mergeCell ref="F233:G233"/>
    <mergeCell ref="H233:I233"/>
    <mergeCell ref="J233:K233"/>
    <mergeCell ref="N233:O233"/>
    <mergeCell ref="P231:Q231"/>
    <mergeCell ref="R231:S231"/>
    <mergeCell ref="T231:U231"/>
    <mergeCell ref="V231:X231"/>
    <mergeCell ref="B232:C232"/>
    <mergeCell ref="D232:E232"/>
    <mergeCell ref="F232:G232"/>
    <mergeCell ref="H232:I232"/>
    <mergeCell ref="J232:K232"/>
    <mergeCell ref="N232:O232"/>
    <mergeCell ref="P230:Q230"/>
    <mergeCell ref="R230:S230"/>
    <mergeCell ref="T230:U230"/>
    <mergeCell ref="V230:X230"/>
    <mergeCell ref="B231:C231"/>
    <mergeCell ref="D231:E231"/>
    <mergeCell ref="F231:G231"/>
    <mergeCell ref="H231:I231"/>
    <mergeCell ref="J231:K231"/>
    <mergeCell ref="N231:O231"/>
    <mergeCell ref="P229:Q229"/>
    <mergeCell ref="R229:S229"/>
    <mergeCell ref="T229:U229"/>
    <mergeCell ref="V229:X229"/>
    <mergeCell ref="B230:C230"/>
    <mergeCell ref="D230:E230"/>
    <mergeCell ref="F230:G230"/>
    <mergeCell ref="H230:I230"/>
    <mergeCell ref="J230:K230"/>
    <mergeCell ref="N230:O230"/>
    <mergeCell ref="P228:Q228"/>
    <mergeCell ref="R228:S228"/>
    <mergeCell ref="T228:U228"/>
    <mergeCell ref="V228:X228"/>
    <mergeCell ref="B229:C229"/>
    <mergeCell ref="D229:E229"/>
    <mergeCell ref="F229:G229"/>
    <mergeCell ref="H229:I229"/>
    <mergeCell ref="J229:K229"/>
    <mergeCell ref="N229:O229"/>
    <mergeCell ref="P227:Q227"/>
    <mergeCell ref="R227:S227"/>
    <mergeCell ref="T227:U227"/>
    <mergeCell ref="V227:X227"/>
    <mergeCell ref="B228:C228"/>
    <mergeCell ref="D228:E228"/>
    <mergeCell ref="F228:G228"/>
    <mergeCell ref="H228:I228"/>
    <mergeCell ref="J228:K228"/>
    <mergeCell ref="N228:O228"/>
    <mergeCell ref="P226:Q226"/>
    <mergeCell ref="R226:S226"/>
    <mergeCell ref="T226:U226"/>
    <mergeCell ref="V226:X226"/>
    <mergeCell ref="B227:C227"/>
    <mergeCell ref="D227:E227"/>
    <mergeCell ref="F227:G227"/>
    <mergeCell ref="H227:I227"/>
    <mergeCell ref="J227:K227"/>
    <mergeCell ref="N227:O227"/>
    <mergeCell ref="P225:Q225"/>
    <mergeCell ref="R225:S225"/>
    <mergeCell ref="T225:U225"/>
    <mergeCell ref="V225:X225"/>
    <mergeCell ref="B226:C226"/>
    <mergeCell ref="D226:E226"/>
    <mergeCell ref="F226:G226"/>
    <mergeCell ref="H226:I226"/>
    <mergeCell ref="J226:K226"/>
    <mergeCell ref="N226:O226"/>
    <mergeCell ref="P224:Q224"/>
    <mergeCell ref="R224:S224"/>
    <mergeCell ref="T224:U224"/>
    <mergeCell ref="V224:X224"/>
    <mergeCell ref="B225:C225"/>
    <mergeCell ref="D225:E225"/>
    <mergeCell ref="F225:G225"/>
    <mergeCell ref="H225:I225"/>
    <mergeCell ref="J225:K225"/>
    <mergeCell ref="N225:O225"/>
    <mergeCell ref="P223:Q223"/>
    <mergeCell ref="R223:S223"/>
    <mergeCell ref="T223:U223"/>
    <mergeCell ref="V223:X223"/>
    <mergeCell ref="B224:C224"/>
    <mergeCell ref="D224:E224"/>
    <mergeCell ref="F224:G224"/>
    <mergeCell ref="H224:I224"/>
    <mergeCell ref="J224:K224"/>
    <mergeCell ref="N224:O224"/>
    <mergeCell ref="P222:Q222"/>
    <mergeCell ref="R222:S222"/>
    <mergeCell ref="T222:U222"/>
    <mergeCell ref="V222:X222"/>
    <mergeCell ref="B223:C223"/>
    <mergeCell ref="D223:E223"/>
    <mergeCell ref="F223:G223"/>
    <mergeCell ref="H223:I223"/>
    <mergeCell ref="J223:K223"/>
    <mergeCell ref="N223:O223"/>
    <mergeCell ref="P221:Q221"/>
    <mergeCell ref="R221:S221"/>
    <mergeCell ref="T221:U221"/>
    <mergeCell ref="V221:X221"/>
    <mergeCell ref="B222:C222"/>
    <mergeCell ref="D222:E222"/>
    <mergeCell ref="F222:G222"/>
    <mergeCell ref="H222:I222"/>
    <mergeCell ref="J222:K222"/>
    <mergeCell ref="N222:O222"/>
    <mergeCell ref="P220:Q220"/>
    <mergeCell ref="R220:S220"/>
    <mergeCell ref="T220:U220"/>
    <mergeCell ref="V220:X220"/>
    <mergeCell ref="B221:C221"/>
    <mergeCell ref="D221:E221"/>
    <mergeCell ref="F221:G221"/>
    <mergeCell ref="H221:I221"/>
    <mergeCell ref="J221:K221"/>
    <mergeCell ref="N221:O221"/>
    <mergeCell ref="P219:Q219"/>
    <mergeCell ref="R219:S219"/>
    <mergeCell ref="T219:U219"/>
    <mergeCell ref="V219:X219"/>
    <mergeCell ref="B220:C220"/>
    <mergeCell ref="D220:E220"/>
    <mergeCell ref="F220:G220"/>
    <mergeCell ref="H220:I220"/>
    <mergeCell ref="J220:K220"/>
    <mergeCell ref="N220:O220"/>
    <mergeCell ref="P218:Q218"/>
    <mergeCell ref="R218:S218"/>
    <mergeCell ref="T218:U218"/>
    <mergeCell ref="V218:X218"/>
    <mergeCell ref="B219:C219"/>
    <mergeCell ref="D219:E219"/>
    <mergeCell ref="F219:G219"/>
    <mergeCell ref="H219:I219"/>
    <mergeCell ref="J219:K219"/>
    <mergeCell ref="N219:O219"/>
    <mergeCell ref="P217:Q217"/>
    <mergeCell ref="R217:S217"/>
    <mergeCell ref="T217:U217"/>
    <mergeCell ref="V217:X217"/>
    <mergeCell ref="B218:C218"/>
    <mergeCell ref="D218:E218"/>
    <mergeCell ref="F218:G218"/>
    <mergeCell ref="H218:I218"/>
    <mergeCell ref="J218:K218"/>
    <mergeCell ref="N218:O218"/>
    <mergeCell ref="P216:Q216"/>
    <mergeCell ref="R216:S216"/>
    <mergeCell ref="T216:U216"/>
    <mergeCell ref="V216:X216"/>
    <mergeCell ref="B217:C217"/>
    <mergeCell ref="D217:E217"/>
    <mergeCell ref="F217:G217"/>
    <mergeCell ref="H217:I217"/>
    <mergeCell ref="J217:K217"/>
    <mergeCell ref="N217:O217"/>
    <mergeCell ref="P215:Q215"/>
    <mergeCell ref="R215:S215"/>
    <mergeCell ref="T215:U215"/>
    <mergeCell ref="V215:X215"/>
    <mergeCell ref="B216:C216"/>
    <mergeCell ref="D216:E216"/>
    <mergeCell ref="F216:G216"/>
    <mergeCell ref="H216:I216"/>
    <mergeCell ref="J216:K216"/>
    <mergeCell ref="N216:O216"/>
    <mergeCell ref="P214:Q214"/>
    <mergeCell ref="R214:S214"/>
    <mergeCell ref="T214:U214"/>
    <mergeCell ref="V214:X214"/>
    <mergeCell ref="B215:C215"/>
    <mergeCell ref="D215:E215"/>
    <mergeCell ref="F215:G215"/>
    <mergeCell ref="H215:I215"/>
    <mergeCell ref="J215:K215"/>
    <mergeCell ref="N215:O215"/>
    <mergeCell ref="P213:Q213"/>
    <mergeCell ref="R213:S213"/>
    <mergeCell ref="T213:U213"/>
    <mergeCell ref="V213:X213"/>
    <mergeCell ref="B214:C214"/>
    <mergeCell ref="D214:E214"/>
    <mergeCell ref="F214:G214"/>
    <mergeCell ref="H214:I214"/>
    <mergeCell ref="J214:K214"/>
    <mergeCell ref="N214:O214"/>
    <mergeCell ref="P212:Q212"/>
    <mergeCell ref="R212:S212"/>
    <mergeCell ref="T212:U212"/>
    <mergeCell ref="V212:X212"/>
    <mergeCell ref="B213:C213"/>
    <mergeCell ref="D213:E213"/>
    <mergeCell ref="F213:G213"/>
    <mergeCell ref="H213:I213"/>
    <mergeCell ref="J213:K213"/>
    <mergeCell ref="N213:O213"/>
    <mergeCell ref="P211:Q211"/>
    <mergeCell ref="R211:S211"/>
    <mergeCell ref="T211:U211"/>
    <mergeCell ref="V211:X211"/>
    <mergeCell ref="B212:C212"/>
    <mergeCell ref="D212:E212"/>
    <mergeCell ref="F212:G212"/>
    <mergeCell ref="H212:I212"/>
    <mergeCell ref="J212:K212"/>
    <mergeCell ref="N212:O212"/>
    <mergeCell ref="P210:Q210"/>
    <mergeCell ref="R210:S210"/>
    <mergeCell ref="T210:U210"/>
    <mergeCell ref="V210:X210"/>
    <mergeCell ref="B211:C211"/>
    <mergeCell ref="D211:E211"/>
    <mergeCell ref="F211:G211"/>
    <mergeCell ref="H211:I211"/>
    <mergeCell ref="J211:K211"/>
    <mergeCell ref="N211:O211"/>
    <mergeCell ref="P209:Q209"/>
    <mergeCell ref="R209:S209"/>
    <mergeCell ref="T209:U209"/>
    <mergeCell ref="V209:X209"/>
    <mergeCell ref="B210:C210"/>
    <mergeCell ref="D210:E210"/>
    <mergeCell ref="F210:G210"/>
    <mergeCell ref="H210:I210"/>
    <mergeCell ref="J210:K210"/>
    <mergeCell ref="N210:O210"/>
    <mergeCell ref="P208:Q208"/>
    <mergeCell ref="R208:S208"/>
    <mergeCell ref="T208:U208"/>
    <mergeCell ref="V208:X208"/>
    <mergeCell ref="B209:C209"/>
    <mergeCell ref="D209:E209"/>
    <mergeCell ref="F209:G209"/>
    <mergeCell ref="H209:I209"/>
    <mergeCell ref="J209:K209"/>
    <mergeCell ref="N209:O209"/>
    <mergeCell ref="P207:Q207"/>
    <mergeCell ref="R207:S207"/>
    <mergeCell ref="T207:U207"/>
    <mergeCell ref="V207:X207"/>
    <mergeCell ref="B208:C208"/>
    <mergeCell ref="D208:E208"/>
    <mergeCell ref="F208:G208"/>
    <mergeCell ref="H208:I208"/>
    <mergeCell ref="J208:K208"/>
    <mergeCell ref="N208:O208"/>
    <mergeCell ref="P206:Q206"/>
    <mergeCell ref="R206:S206"/>
    <mergeCell ref="T206:U206"/>
    <mergeCell ref="V206:X206"/>
    <mergeCell ref="B207:C207"/>
    <mergeCell ref="D207:E207"/>
    <mergeCell ref="F207:G207"/>
    <mergeCell ref="H207:I207"/>
    <mergeCell ref="J207:K207"/>
    <mergeCell ref="N207:O207"/>
    <mergeCell ref="P205:Q205"/>
    <mergeCell ref="R205:S205"/>
    <mergeCell ref="T205:U205"/>
    <mergeCell ref="V205:X205"/>
    <mergeCell ref="B206:C206"/>
    <mergeCell ref="D206:E206"/>
    <mergeCell ref="F206:G206"/>
    <mergeCell ref="H206:I206"/>
    <mergeCell ref="J206:K206"/>
    <mergeCell ref="N206:O206"/>
    <mergeCell ref="P204:Q204"/>
    <mergeCell ref="R204:S204"/>
    <mergeCell ref="T204:U204"/>
    <mergeCell ref="V204:X204"/>
    <mergeCell ref="B205:C205"/>
    <mergeCell ref="D205:E205"/>
    <mergeCell ref="F205:G205"/>
    <mergeCell ref="H205:I205"/>
    <mergeCell ref="J205:K205"/>
    <mergeCell ref="N205:O205"/>
    <mergeCell ref="P203:Q203"/>
    <mergeCell ref="R203:S203"/>
    <mergeCell ref="T203:U203"/>
    <mergeCell ref="V203:X203"/>
    <mergeCell ref="B204:C204"/>
    <mergeCell ref="D204:E204"/>
    <mergeCell ref="F204:G204"/>
    <mergeCell ref="H204:I204"/>
    <mergeCell ref="J204:K204"/>
    <mergeCell ref="N204:O204"/>
    <mergeCell ref="P202:Q202"/>
    <mergeCell ref="R202:S202"/>
    <mergeCell ref="T202:U202"/>
    <mergeCell ref="V202:X202"/>
    <mergeCell ref="B203:C203"/>
    <mergeCell ref="D203:E203"/>
    <mergeCell ref="F203:G203"/>
    <mergeCell ref="H203:I203"/>
    <mergeCell ref="J203:K203"/>
    <mergeCell ref="N203:O203"/>
    <mergeCell ref="P201:Q201"/>
    <mergeCell ref="R201:S201"/>
    <mergeCell ref="T201:U201"/>
    <mergeCell ref="V201:X201"/>
    <mergeCell ref="B202:C202"/>
    <mergeCell ref="D202:E202"/>
    <mergeCell ref="F202:G202"/>
    <mergeCell ref="H202:I202"/>
    <mergeCell ref="J202:K202"/>
    <mergeCell ref="N202:O202"/>
    <mergeCell ref="P200:Q200"/>
    <mergeCell ref="R200:S200"/>
    <mergeCell ref="T200:U200"/>
    <mergeCell ref="V200:X200"/>
    <mergeCell ref="B201:C201"/>
    <mergeCell ref="D201:E201"/>
    <mergeCell ref="F201:G201"/>
    <mergeCell ref="H201:I201"/>
    <mergeCell ref="J201:K201"/>
    <mergeCell ref="N201:O201"/>
    <mergeCell ref="P199:Q199"/>
    <mergeCell ref="R199:S199"/>
    <mergeCell ref="T199:U199"/>
    <mergeCell ref="V199:X199"/>
    <mergeCell ref="B200:C200"/>
    <mergeCell ref="D200:E200"/>
    <mergeCell ref="F200:G200"/>
    <mergeCell ref="H200:I200"/>
    <mergeCell ref="J200:K200"/>
    <mergeCell ref="N200:O200"/>
    <mergeCell ref="P198:Q198"/>
    <mergeCell ref="R198:S198"/>
    <mergeCell ref="T198:U198"/>
    <mergeCell ref="V198:X198"/>
    <mergeCell ref="B199:C199"/>
    <mergeCell ref="D199:E199"/>
    <mergeCell ref="F199:G199"/>
    <mergeCell ref="H199:I199"/>
    <mergeCell ref="J199:K199"/>
    <mergeCell ref="N199:O199"/>
    <mergeCell ref="P197:Q197"/>
    <mergeCell ref="R197:S197"/>
    <mergeCell ref="T197:U197"/>
    <mergeCell ref="V197:X197"/>
    <mergeCell ref="B198:C198"/>
    <mergeCell ref="D198:E198"/>
    <mergeCell ref="F198:G198"/>
    <mergeCell ref="H198:I198"/>
    <mergeCell ref="J198:K198"/>
    <mergeCell ref="N198:O198"/>
    <mergeCell ref="P196:Q196"/>
    <mergeCell ref="R196:S196"/>
    <mergeCell ref="T196:U196"/>
    <mergeCell ref="V196:X196"/>
    <mergeCell ref="B197:C197"/>
    <mergeCell ref="D197:E197"/>
    <mergeCell ref="F197:G197"/>
    <mergeCell ref="H197:I197"/>
    <mergeCell ref="J197:K197"/>
    <mergeCell ref="N197:O197"/>
    <mergeCell ref="P195:Q195"/>
    <mergeCell ref="R195:S195"/>
    <mergeCell ref="T195:U195"/>
    <mergeCell ref="V195:X195"/>
    <mergeCell ref="B196:C196"/>
    <mergeCell ref="D196:E196"/>
    <mergeCell ref="F196:G196"/>
    <mergeCell ref="H196:I196"/>
    <mergeCell ref="J196:K196"/>
    <mergeCell ref="N196:O196"/>
    <mergeCell ref="P194:Q194"/>
    <mergeCell ref="R194:S194"/>
    <mergeCell ref="T194:U194"/>
    <mergeCell ref="V194:X194"/>
    <mergeCell ref="B195:C195"/>
    <mergeCell ref="D195:E195"/>
    <mergeCell ref="F195:G195"/>
    <mergeCell ref="H195:I195"/>
    <mergeCell ref="J195:K195"/>
    <mergeCell ref="N195:O195"/>
    <mergeCell ref="P193:Q193"/>
    <mergeCell ref="R193:S193"/>
    <mergeCell ref="T193:U193"/>
    <mergeCell ref="V193:X193"/>
    <mergeCell ref="B194:C194"/>
    <mergeCell ref="D194:E194"/>
    <mergeCell ref="F194:G194"/>
    <mergeCell ref="H194:I194"/>
    <mergeCell ref="J194:K194"/>
    <mergeCell ref="N194:O194"/>
    <mergeCell ref="P192:Q192"/>
    <mergeCell ref="R192:S192"/>
    <mergeCell ref="T192:U192"/>
    <mergeCell ref="V192:X192"/>
    <mergeCell ref="B193:C193"/>
    <mergeCell ref="D193:E193"/>
    <mergeCell ref="F193:G193"/>
    <mergeCell ref="H193:I193"/>
    <mergeCell ref="J193:K193"/>
    <mergeCell ref="N193:O193"/>
    <mergeCell ref="P191:Q191"/>
    <mergeCell ref="R191:S191"/>
    <mergeCell ref="T191:U191"/>
    <mergeCell ref="V191:X191"/>
    <mergeCell ref="B192:C192"/>
    <mergeCell ref="D192:E192"/>
    <mergeCell ref="F192:G192"/>
    <mergeCell ref="H192:I192"/>
    <mergeCell ref="J192:K192"/>
    <mergeCell ref="N192:O192"/>
    <mergeCell ref="P190:Q190"/>
    <mergeCell ref="R190:S190"/>
    <mergeCell ref="T190:U190"/>
    <mergeCell ref="V190:X190"/>
    <mergeCell ref="B191:C191"/>
    <mergeCell ref="D191:E191"/>
    <mergeCell ref="F191:G191"/>
    <mergeCell ref="H191:I191"/>
    <mergeCell ref="J191:K191"/>
    <mergeCell ref="N191:O191"/>
    <mergeCell ref="P189:Q189"/>
    <mergeCell ref="R189:S189"/>
    <mergeCell ref="T189:U189"/>
    <mergeCell ref="V189:X189"/>
    <mergeCell ref="B190:C190"/>
    <mergeCell ref="D190:E190"/>
    <mergeCell ref="F190:G190"/>
    <mergeCell ref="H190:I190"/>
    <mergeCell ref="J190:K190"/>
    <mergeCell ref="N190:O190"/>
    <mergeCell ref="P188:Q188"/>
    <mergeCell ref="R188:S188"/>
    <mergeCell ref="T188:U188"/>
    <mergeCell ref="V188:X188"/>
    <mergeCell ref="B189:C189"/>
    <mergeCell ref="D189:E189"/>
    <mergeCell ref="F189:G189"/>
    <mergeCell ref="H189:I189"/>
    <mergeCell ref="J189:K189"/>
    <mergeCell ref="N189:O189"/>
    <mergeCell ref="P187:Q187"/>
    <mergeCell ref="R187:S187"/>
    <mergeCell ref="T187:U187"/>
    <mergeCell ref="V187:X187"/>
    <mergeCell ref="B188:C188"/>
    <mergeCell ref="D188:E188"/>
    <mergeCell ref="F188:G188"/>
    <mergeCell ref="H188:I188"/>
    <mergeCell ref="J188:K188"/>
    <mergeCell ref="N188:O188"/>
    <mergeCell ref="P186:Q186"/>
    <mergeCell ref="R186:S186"/>
    <mergeCell ref="T186:U186"/>
    <mergeCell ref="V186:X186"/>
    <mergeCell ref="B187:C187"/>
    <mergeCell ref="D187:E187"/>
    <mergeCell ref="F187:G187"/>
    <mergeCell ref="H187:I187"/>
    <mergeCell ref="J187:K187"/>
    <mergeCell ref="N187:O187"/>
    <mergeCell ref="P185:Q185"/>
    <mergeCell ref="R185:S185"/>
    <mergeCell ref="T185:U185"/>
    <mergeCell ref="V185:X185"/>
    <mergeCell ref="B186:C186"/>
    <mergeCell ref="D186:E186"/>
    <mergeCell ref="F186:G186"/>
    <mergeCell ref="H186:I186"/>
    <mergeCell ref="J186:K186"/>
    <mergeCell ref="N186:O186"/>
    <mergeCell ref="P184:Q184"/>
    <mergeCell ref="R184:S184"/>
    <mergeCell ref="T184:U184"/>
    <mergeCell ref="V184:X184"/>
    <mergeCell ref="B185:C185"/>
    <mergeCell ref="D185:E185"/>
    <mergeCell ref="F185:G185"/>
    <mergeCell ref="H185:I185"/>
    <mergeCell ref="J185:K185"/>
    <mergeCell ref="N185:O185"/>
    <mergeCell ref="P183:Q183"/>
    <mergeCell ref="R183:S183"/>
    <mergeCell ref="T183:U183"/>
    <mergeCell ref="V183:X183"/>
    <mergeCell ref="B184:C184"/>
    <mergeCell ref="D184:E184"/>
    <mergeCell ref="F184:G184"/>
    <mergeCell ref="H184:I184"/>
    <mergeCell ref="J184:K184"/>
    <mergeCell ref="N184:O184"/>
    <mergeCell ref="P182:Q182"/>
    <mergeCell ref="R182:S182"/>
    <mergeCell ref="T182:U182"/>
    <mergeCell ref="V182:X182"/>
    <mergeCell ref="B183:C183"/>
    <mergeCell ref="D183:E183"/>
    <mergeCell ref="F183:G183"/>
    <mergeCell ref="H183:I183"/>
    <mergeCell ref="J183:K183"/>
    <mergeCell ref="N183:O183"/>
    <mergeCell ref="P181:Q181"/>
    <mergeCell ref="R181:S181"/>
    <mergeCell ref="T181:U181"/>
    <mergeCell ref="V181:X181"/>
    <mergeCell ref="B182:C182"/>
    <mergeCell ref="D182:E182"/>
    <mergeCell ref="F182:G182"/>
    <mergeCell ref="H182:I182"/>
    <mergeCell ref="J182:K182"/>
    <mergeCell ref="N182:O182"/>
    <mergeCell ref="P180:Q180"/>
    <mergeCell ref="R180:S180"/>
    <mergeCell ref="T180:U180"/>
    <mergeCell ref="V180:X180"/>
    <mergeCell ref="B181:C181"/>
    <mergeCell ref="D181:E181"/>
    <mergeCell ref="F181:G181"/>
    <mergeCell ref="H181:I181"/>
    <mergeCell ref="J181:K181"/>
    <mergeCell ref="N181:O181"/>
    <mergeCell ref="P179:Q179"/>
    <mergeCell ref="R179:S179"/>
    <mergeCell ref="T179:U179"/>
    <mergeCell ref="V179:X179"/>
    <mergeCell ref="B180:C180"/>
    <mergeCell ref="D180:E180"/>
    <mergeCell ref="F180:G180"/>
    <mergeCell ref="H180:I180"/>
    <mergeCell ref="J180:K180"/>
    <mergeCell ref="N180:O180"/>
    <mergeCell ref="P178:Q178"/>
    <mergeCell ref="R178:S178"/>
    <mergeCell ref="T178:U178"/>
    <mergeCell ref="V178:X178"/>
    <mergeCell ref="B179:C179"/>
    <mergeCell ref="D179:E179"/>
    <mergeCell ref="F179:G179"/>
    <mergeCell ref="H179:I179"/>
    <mergeCell ref="J179:K179"/>
    <mergeCell ref="N179:O179"/>
    <mergeCell ref="P177:Q177"/>
    <mergeCell ref="R177:S177"/>
    <mergeCell ref="T177:U177"/>
    <mergeCell ref="V177:X177"/>
    <mergeCell ref="B178:C178"/>
    <mergeCell ref="D178:E178"/>
    <mergeCell ref="F178:G178"/>
    <mergeCell ref="H178:I178"/>
    <mergeCell ref="J178:K178"/>
    <mergeCell ref="N178:O178"/>
    <mergeCell ref="P176:Q176"/>
    <mergeCell ref="R176:S176"/>
    <mergeCell ref="T176:U176"/>
    <mergeCell ref="V176:X176"/>
    <mergeCell ref="B177:C177"/>
    <mergeCell ref="D177:E177"/>
    <mergeCell ref="F177:G177"/>
    <mergeCell ref="H177:I177"/>
    <mergeCell ref="J177:K177"/>
    <mergeCell ref="N177:O177"/>
    <mergeCell ref="P175:Q175"/>
    <mergeCell ref="R175:S175"/>
    <mergeCell ref="T175:U175"/>
    <mergeCell ref="V175:X175"/>
    <mergeCell ref="B176:C176"/>
    <mergeCell ref="D176:E176"/>
    <mergeCell ref="F176:G176"/>
    <mergeCell ref="H176:I176"/>
    <mergeCell ref="J176:K176"/>
    <mergeCell ref="N176:O176"/>
    <mergeCell ref="P174:Q174"/>
    <mergeCell ref="R174:S174"/>
    <mergeCell ref="T174:U174"/>
    <mergeCell ref="V174:X174"/>
    <mergeCell ref="B175:C175"/>
    <mergeCell ref="D175:E175"/>
    <mergeCell ref="F175:G175"/>
    <mergeCell ref="H175:I175"/>
    <mergeCell ref="J175:K175"/>
    <mergeCell ref="N175:O175"/>
    <mergeCell ref="P173:Q173"/>
    <mergeCell ref="R173:S173"/>
    <mergeCell ref="T173:U173"/>
    <mergeCell ref="V173:X173"/>
    <mergeCell ref="B174:C174"/>
    <mergeCell ref="D174:E174"/>
    <mergeCell ref="F174:G174"/>
    <mergeCell ref="H174:I174"/>
    <mergeCell ref="J174:K174"/>
    <mergeCell ref="N174:O174"/>
    <mergeCell ref="P172:Q172"/>
    <mergeCell ref="R172:S172"/>
    <mergeCell ref="T172:U172"/>
    <mergeCell ref="V172:X172"/>
    <mergeCell ref="B173:C173"/>
    <mergeCell ref="D173:E173"/>
    <mergeCell ref="F173:G173"/>
    <mergeCell ref="H173:I173"/>
    <mergeCell ref="J173:K173"/>
    <mergeCell ref="N173:O173"/>
    <mergeCell ref="P171:Q171"/>
    <mergeCell ref="R171:S171"/>
    <mergeCell ref="T171:U171"/>
    <mergeCell ref="V171:X171"/>
    <mergeCell ref="B172:C172"/>
    <mergeCell ref="D172:E172"/>
    <mergeCell ref="F172:G172"/>
    <mergeCell ref="H172:I172"/>
    <mergeCell ref="J172:K172"/>
    <mergeCell ref="N172:O172"/>
    <mergeCell ref="P170:Q170"/>
    <mergeCell ref="R170:S170"/>
    <mergeCell ref="B171:C171"/>
    <mergeCell ref="D171:E171"/>
    <mergeCell ref="F171:G171"/>
    <mergeCell ref="H171:I171"/>
    <mergeCell ref="J171:K171"/>
    <mergeCell ref="N171:O171"/>
    <mergeCell ref="U169:V169"/>
    <mergeCell ref="U170:V170"/>
    <mergeCell ref="P169:Q169"/>
    <mergeCell ref="R169:S169"/>
    <mergeCell ref="B170:C170"/>
    <mergeCell ref="D170:E170"/>
    <mergeCell ref="F170:G170"/>
    <mergeCell ref="H170:I170"/>
    <mergeCell ref="J170:K170"/>
    <mergeCell ref="N170:O170"/>
    <mergeCell ref="P168:Q168"/>
    <mergeCell ref="R168:S168"/>
    <mergeCell ref="B169:C169"/>
    <mergeCell ref="D169:E169"/>
    <mergeCell ref="F169:G169"/>
    <mergeCell ref="H169:I169"/>
    <mergeCell ref="J169:K169"/>
    <mergeCell ref="N169:O169"/>
    <mergeCell ref="U167:V167"/>
    <mergeCell ref="U168:V168"/>
    <mergeCell ref="P167:Q167"/>
    <mergeCell ref="R167:S167"/>
    <mergeCell ref="B168:C168"/>
    <mergeCell ref="D168:E168"/>
    <mergeCell ref="F168:G168"/>
    <mergeCell ref="H168:I168"/>
    <mergeCell ref="J168:K168"/>
    <mergeCell ref="N168:O168"/>
    <mergeCell ref="P166:Q166"/>
    <mergeCell ref="R166:S166"/>
    <mergeCell ref="B167:C167"/>
    <mergeCell ref="D167:E167"/>
    <mergeCell ref="F167:G167"/>
    <mergeCell ref="H167:I167"/>
    <mergeCell ref="J167:K167"/>
    <mergeCell ref="N167:O167"/>
    <mergeCell ref="U165:V165"/>
    <mergeCell ref="U166:V166"/>
    <mergeCell ref="P165:Q165"/>
    <mergeCell ref="R165:S165"/>
    <mergeCell ref="B166:C166"/>
    <mergeCell ref="D166:E166"/>
    <mergeCell ref="F166:G166"/>
    <mergeCell ref="H166:I166"/>
    <mergeCell ref="J166:K166"/>
    <mergeCell ref="N166:O166"/>
    <mergeCell ref="P164:Q164"/>
    <mergeCell ref="R164:S164"/>
    <mergeCell ref="B165:C165"/>
    <mergeCell ref="D165:E165"/>
    <mergeCell ref="F165:G165"/>
    <mergeCell ref="H165:I165"/>
    <mergeCell ref="J165:K165"/>
    <mergeCell ref="N165:O165"/>
    <mergeCell ref="U163:V163"/>
    <mergeCell ref="U164:V164"/>
    <mergeCell ref="P163:Q163"/>
    <mergeCell ref="R163:S163"/>
    <mergeCell ref="B164:C164"/>
    <mergeCell ref="D164:E164"/>
    <mergeCell ref="F164:G164"/>
    <mergeCell ref="H164:I164"/>
    <mergeCell ref="J164:K164"/>
    <mergeCell ref="N164:O164"/>
    <mergeCell ref="P162:Q162"/>
    <mergeCell ref="R162:S162"/>
    <mergeCell ref="B163:C163"/>
    <mergeCell ref="D163:E163"/>
    <mergeCell ref="F163:G163"/>
    <mergeCell ref="H163:I163"/>
    <mergeCell ref="J163:K163"/>
    <mergeCell ref="N163:O163"/>
    <mergeCell ref="U161:V161"/>
    <mergeCell ref="U162:V162"/>
    <mergeCell ref="P161:Q161"/>
    <mergeCell ref="R161:S161"/>
    <mergeCell ref="B162:C162"/>
    <mergeCell ref="D162:E162"/>
    <mergeCell ref="F162:G162"/>
    <mergeCell ref="H162:I162"/>
    <mergeCell ref="J162:K162"/>
    <mergeCell ref="N162:O162"/>
    <mergeCell ref="P160:Q160"/>
    <mergeCell ref="R160:S160"/>
    <mergeCell ref="B161:C161"/>
    <mergeCell ref="D161:E161"/>
    <mergeCell ref="F161:G161"/>
    <mergeCell ref="H161:I161"/>
    <mergeCell ref="J161:K161"/>
    <mergeCell ref="N161:O161"/>
    <mergeCell ref="U159:V159"/>
    <mergeCell ref="U160:V160"/>
    <mergeCell ref="P159:Q159"/>
    <mergeCell ref="R159:S159"/>
    <mergeCell ref="B160:C160"/>
    <mergeCell ref="D160:E160"/>
    <mergeCell ref="F160:G160"/>
    <mergeCell ref="H160:I160"/>
    <mergeCell ref="J160:K160"/>
    <mergeCell ref="N160:O160"/>
    <mergeCell ref="P158:Q158"/>
    <mergeCell ref="R158:S158"/>
    <mergeCell ref="B159:C159"/>
    <mergeCell ref="D159:E159"/>
    <mergeCell ref="F159:G159"/>
    <mergeCell ref="H159:I159"/>
    <mergeCell ref="J159:K159"/>
    <mergeCell ref="N159:O159"/>
    <mergeCell ref="U157:V157"/>
    <mergeCell ref="U158:V158"/>
    <mergeCell ref="P157:Q157"/>
    <mergeCell ref="R157:S157"/>
    <mergeCell ref="B158:C158"/>
    <mergeCell ref="D158:E158"/>
    <mergeCell ref="F158:G158"/>
    <mergeCell ref="H158:I158"/>
    <mergeCell ref="J158:K158"/>
    <mergeCell ref="N158:O158"/>
    <mergeCell ref="P156:Q156"/>
    <mergeCell ref="R156:S156"/>
    <mergeCell ref="B157:C157"/>
    <mergeCell ref="D157:E157"/>
    <mergeCell ref="F157:G157"/>
    <mergeCell ref="H157:I157"/>
    <mergeCell ref="J157:K157"/>
    <mergeCell ref="N157:O157"/>
    <mergeCell ref="U155:V155"/>
    <mergeCell ref="U156:V156"/>
    <mergeCell ref="P155:Q155"/>
    <mergeCell ref="R155:S155"/>
    <mergeCell ref="B156:C156"/>
    <mergeCell ref="D156:E156"/>
    <mergeCell ref="F156:G156"/>
    <mergeCell ref="H156:I156"/>
    <mergeCell ref="J156:K156"/>
    <mergeCell ref="N156:O156"/>
    <mergeCell ref="P154:Q154"/>
    <mergeCell ref="R154:S154"/>
    <mergeCell ref="B155:C155"/>
    <mergeCell ref="D155:E155"/>
    <mergeCell ref="F155:G155"/>
    <mergeCell ref="H155:I155"/>
    <mergeCell ref="J155:K155"/>
    <mergeCell ref="N155:O155"/>
    <mergeCell ref="U153:V153"/>
    <mergeCell ref="U154:V154"/>
    <mergeCell ref="P153:Q153"/>
    <mergeCell ref="R153:S153"/>
    <mergeCell ref="B154:C154"/>
    <mergeCell ref="D154:E154"/>
    <mergeCell ref="F154:G154"/>
    <mergeCell ref="H154:I154"/>
    <mergeCell ref="J154:K154"/>
    <mergeCell ref="N154:O154"/>
    <mergeCell ref="P152:Q152"/>
    <mergeCell ref="R152:S152"/>
    <mergeCell ref="B153:C153"/>
    <mergeCell ref="D153:E153"/>
    <mergeCell ref="F153:G153"/>
    <mergeCell ref="H153:I153"/>
    <mergeCell ref="J153:K153"/>
    <mergeCell ref="N153:O153"/>
    <mergeCell ref="U151:V151"/>
    <mergeCell ref="U152:V152"/>
    <mergeCell ref="P151:Q151"/>
    <mergeCell ref="R151:S151"/>
    <mergeCell ref="B152:C152"/>
    <mergeCell ref="D152:E152"/>
    <mergeCell ref="F152:G152"/>
    <mergeCell ref="H152:I152"/>
    <mergeCell ref="J152:K152"/>
    <mergeCell ref="N152:O152"/>
    <mergeCell ref="P150:Q150"/>
    <mergeCell ref="R150:S150"/>
    <mergeCell ref="B151:C151"/>
    <mergeCell ref="D151:E151"/>
    <mergeCell ref="F151:G151"/>
    <mergeCell ref="H151:I151"/>
    <mergeCell ref="J151:K151"/>
    <mergeCell ref="N151:O151"/>
    <mergeCell ref="U149:V149"/>
    <mergeCell ref="U150:V150"/>
    <mergeCell ref="P149:Q149"/>
    <mergeCell ref="R149:S149"/>
    <mergeCell ref="B150:C150"/>
    <mergeCell ref="D150:E150"/>
    <mergeCell ref="F150:G150"/>
    <mergeCell ref="H150:I150"/>
    <mergeCell ref="J150:K150"/>
    <mergeCell ref="N150:O150"/>
    <mergeCell ref="P148:Q148"/>
    <mergeCell ref="R148:S148"/>
    <mergeCell ref="B149:C149"/>
    <mergeCell ref="D149:E149"/>
    <mergeCell ref="F149:G149"/>
    <mergeCell ref="H149:I149"/>
    <mergeCell ref="J149:K149"/>
    <mergeCell ref="N149:O149"/>
    <mergeCell ref="U147:V147"/>
    <mergeCell ref="U148:V148"/>
    <mergeCell ref="P147:Q147"/>
    <mergeCell ref="R147:S147"/>
    <mergeCell ref="B148:C148"/>
    <mergeCell ref="D148:E148"/>
    <mergeCell ref="F148:G148"/>
    <mergeCell ref="H148:I148"/>
    <mergeCell ref="J148:K148"/>
    <mergeCell ref="N148:O148"/>
    <mergeCell ref="P146:Q146"/>
    <mergeCell ref="R146:S146"/>
    <mergeCell ref="B147:C147"/>
    <mergeCell ref="D147:E147"/>
    <mergeCell ref="F147:G147"/>
    <mergeCell ref="H147:I147"/>
    <mergeCell ref="J147:K147"/>
    <mergeCell ref="N147:O147"/>
    <mergeCell ref="U145:V145"/>
    <mergeCell ref="U146:V146"/>
    <mergeCell ref="P145:Q145"/>
    <mergeCell ref="R145:S145"/>
    <mergeCell ref="B146:C146"/>
    <mergeCell ref="D146:E146"/>
    <mergeCell ref="F146:G146"/>
    <mergeCell ref="H146:I146"/>
    <mergeCell ref="J146:K146"/>
    <mergeCell ref="N146:O146"/>
    <mergeCell ref="P144:Q144"/>
    <mergeCell ref="R144:S144"/>
    <mergeCell ref="B145:C145"/>
    <mergeCell ref="D145:E145"/>
    <mergeCell ref="F145:G145"/>
    <mergeCell ref="H145:I145"/>
    <mergeCell ref="J145:K145"/>
    <mergeCell ref="N145:O145"/>
    <mergeCell ref="U143:V143"/>
    <mergeCell ref="U144:V144"/>
    <mergeCell ref="P143:Q143"/>
    <mergeCell ref="R143:S143"/>
    <mergeCell ref="B144:C144"/>
    <mergeCell ref="D144:E144"/>
    <mergeCell ref="F144:G144"/>
    <mergeCell ref="H144:I144"/>
    <mergeCell ref="J144:K144"/>
    <mergeCell ref="N144:O144"/>
    <mergeCell ref="P142:Q142"/>
    <mergeCell ref="R142:S142"/>
    <mergeCell ref="B143:C143"/>
    <mergeCell ref="D143:E143"/>
    <mergeCell ref="F143:G143"/>
    <mergeCell ref="H143:I143"/>
    <mergeCell ref="J143:K143"/>
    <mergeCell ref="N143:O143"/>
    <mergeCell ref="U141:V141"/>
    <mergeCell ref="U142:V142"/>
    <mergeCell ref="P141:Q141"/>
    <mergeCell ref="R141:S141"/>
    <mergeCell ref="B142:C142"/>
    <mergeCell ref="D142:E142"/>
    <mergeCell ref="F142:G142"/>
    <mergeCell ref="H142:I142"/>
    <mergeCell ref="J142:K142"/>
    <mergeCell ref="N142:O142"/>
    <mergeCell ref="P140:Q140"/>
    <mergeCell ref="R140:S140"/>
    <mergeCell ref="B141:C141"/>
    <mergeCell ref="D141:E141"/>
    <mergeCell ref="F141:G141"/>
    <mergeCell ref="H141:I141"/>
    <mergeCell ref="J141:K141"/>
    <mergeCell ref="N141:O141"/>
    <mergeCell ref="U139:V139"/>
    <mergeCell ref="U140:V140"/>
    <mergeCell ref="P139:Q139"/>
    <mergeCell ref="R139:S139"/>
    <mergeCell ref="B140:C140"/>
    <mergeCell ref="D140:E140"/>
    <mergeCell ref="F140:G140"/>
    <mergeCell ref="H140:I140"/>
    <mergeCell ref="J140:K140"/>
    <mergeCell ref="N140:O140"/>
    <mergeCell ref="P138:Q138"/>
    <mergeCell ref="R138:S138"/>
    <mergeCell ref="B139:C139"/>
    <mergeCell ref="D139:E139"/>
    <mergeCell ref="F139:G139"/>
    <mergeCell ref="H139:I139"/>
    <mergeCell ref="J139:K139"/>
    <mergeCell ref="N139:O139"/>
    <mergeCell ref="U137:V137"/>
    <mergeCell ref="U138:V138"/>
    <mergeCell ref="P137:Q137"/>
    <mergeCell ref="R137:S137"/>
    <mergeCell ref="B138:C138"/>
    <mergeCell ref="D138:E138"/>
    <mergeCell ref="F138:G138"/>
    <mergeCell ref="H138:I138"/>
    <mergeCell ref="J138:K138"/>
    <mergeCell ref="N138:O138"/>
    <mergeCell ref="P136:Q136"/>
    <mergeCell ref="R136:S136"/>
    <mergeCell ref="B137:C137"/>
    <mergeCell ref="D137:E137"/>
    <mergeCell ref="F137:G137"/>
    <mergeCell ref="H137:I137"/>
    <mergeCell ref="J137:K137"/>
    <mergeCell ref="N137:O137"/>
    <mergeCell ref="U135:V135"/>
    <mergeCell ref="U136:V136"/>
    <mergeCell ref="P135:Q135"/>
    <mergeCell ref="R135:S135"/>
    <mergeCell ref="B136:C136"/>
    <mergeCell ref="D136:E136"/>
    <mergeCell ref="F136:G136"/>
    <mergeCell ref="H136:I136"/>
    <mergeCell ref="J136:K136"/>
    <mergeCell ref="N136:O136"/>
    <mergeCell ref="P134:Q134"/>
    <mergeCell ref="R134:S134"/>
    <mergeCell ref="B135:C135"/>
    <mergeCell ref="D135:E135"/>
    <mergeCell ref="F135:G135"/>
    <mergeCell ref="H135:I135"/>
    <mergeCell ref="J135:K135"/>
    <mergeCell ref="N135:O135"/>
    <mergeCell ref="U133:V133"/>
    <mergeCell ref="U134:V134"/>
    <mergeCell ref="P133:Q133"/>
    <mergeCell ref="R133:S133"/>
    <mergeCell ref="B134:C134"/>
    <mergeCell ref="D134:E134"/>
    <mergeCell ref="F134:G134"/>
    <mergeCell ref="H134:I134"/>
    <mergeCell ref="J134:K134"/>
    <mergeCell ref="N134:O134"/>
    <mergeCell ref="P132:Q132"/>
    <mergeCell ref="R132:S132"/>
    <mergeCell ref="B133:C133"/>
    <mergeCell ref="D133:E133"/>
    <mergeCell ref="F133:G133"/>
    <mergeCell ref="H133:I133"/>
    <mergeCell ref="J133:K133"/>
    <mergeCell ref="N133:O133"/>
    <mergeCell ref="U131:V131"/>
    <mergeCell ref="U132:V132"/>
    <mergeCell ref="P131:Q131"/>
    <mergeCell ref="R131:S131"/>
    <mergeCell ref="B132:C132"/>
    <mergeCell ref="D132:E132"/>
    <mergeCell ref="F132:G132"/>
    <mergeCell ref="H132:I132"/>
    <mergeCell ref="J132:K132"/>
    <mergeCell ref="N132:O132"/>
    <mergeCell ref="P130:Q130"/>
    <mergeCell ref="R130:S130"/>
    <mergeCell ref="B131:C131"/>
    <mergeCell ref="D131:E131"/>
    <mergeCell ref="F131:G131"/>
    <mergeCell ref="H131:I131"/>
    <mergeCell ref="J131:K131"/>
    <mergeCell ref="N131:O131"/>
    <mergeCell ref="U129:V129"/>
    <mergeCell ref="U130:V130"/>
    <mergeCell ref="P129:Q129"/>
    <mergeCell ref="R129:S129"/>
    <mergeCell ref="B130:C130"/>
    <mergeCell ref="D130:E130"/>
    <mergeCell ref="F130:G130"/>
    <mergeCell ref="H130:I130"/>
    <mergeCell ref="J130:K130"/>
    <mergeCell ref="N130:O130"/>
    <mergeCell ref="P128:Q128"/>
    <mergeCell ref="R128:S128"/>
    <mergeCell ref="B129:C129"/>
    <mergeCell ref="D129:E129"/>
    <mergeCell ref="F129:G129"/>
    <mergeCell ref="H129:I129"/>
    <mergeCell ref="J129:K129"/>
    <mergeCell ref="N129:O129"/>
    <mergeCell ref="U127:V127"/>
    <mergeCell ref="U128:V128"/>
    <mergeCell ref="P127:Q127"/>
    <mergeCell ref="R127:S127"/>
    <mergeCell ref="B128:C128"/>
    <mergeCell ref="D128:E128"/>
    <mergeCell ref="F128:G128"/>
    <mergeCell ref="H128:I128"/>
    <mergeCell ref="J128:K128"/>
    <mergeCell ref="N128:O128"/>
    <mergeCell ref="P126:Q126"/>
    <mergeCell ref="R126:S126"/>
    <mergeCell ref="B127:C127"/>
    <mergeCell ref="D127:E127"/>
    <mergeCell ref="F127:G127"/>
    <mergeCell ref="H127:I127"/>
    <mergeCell ref="J127:K127"/>
    <mergeCell ref="N127:O127"/>
    <mergeCell ref="U125:V125"/>
    <mergeCell ref="U126:V126"/>
    <mergeCell ref="P125:Q125"/>
    <mergeCell ref="R125:S125"/>
    <mergeCell ref="B126:C126"/>
    <mergeCell ref="D126:E126"/>
    <mergeCell ref="F126:G126"/>
    <mergeCell ref="H126:I126"/>
    <mergeCell ref="J126:K126"/>
    <mergeCell ref="N126:O126"/>
    <mergeCell ref="P124:Q124"/>
    <mergeCell ref="R124:S124"/>
    <mergeCell ref="B125:C125"/>
    <mergeCell ref="D125:E125"/>
    <mergeCell ref="F125:G125"/>
    <mergeCell ref="H125:I125"/>
    <mergeCell ref="J125:K125"/>
    <mergeCell ref="N125:O125"/>
    <mergeCell ref="U123:V123"/>
    <mergeCell ref="U124:V124"/>
    <mergeCell ref="P123:Q123"/>
    <mergeCell ref="R123:S123"/>
    <mergeCell ref="B124:C124"/>
    <mergeCell ref="D124:E124"/>
    <mergeCell ref="F124:G124"/>
    <mergeCell ref="H124:I124"/>
    <mergeCell ref="J124:K124"/>
    <mergeCell ref="N124:O124"/>
    <mergeCell ref="P122:Q122"/>
    <mergeCell ref="R122:S122"/>
    <mergeCell ref="B123:C123"/>
    <mergeCell ref="D123:E123"/>
    <mergeCell ref="F123:G123"/>
    <mergeCell ref="H123:I123"/>
    <mergeCell ref="J123:K123"/>
    <mergeCell ref="N123:O123"/>
    <mergeCell ref="U121:V121"/>
    <mergeCell ref="U122:V122"/>
    <mergeCell ref="P121:Q121"/>
    <mergeCell ref="R121:S121"/>
    <mergeCell ref="B122:C122"/>
    <mergeCell ref="D122:E122"/>
    <mergeCell ref="F122:G122"/>
    <mergeCell ref="H122:I122"/>
    <mergeCell ref="J122:K122"/>
    <mergeCell ref="N122:O122"/>
    <mergeCell ref="P120:Q120"/>
    <mergeCell ref="R120:S120"/>
    <mergeCell ref="B121:C121"/>
    <mergeCell ref="D121:E121"/>
    <mergeCell ref="F121:G121"/>
    <mergeCell ref="H121:I121"/>
    <mergeCell ref="J121:K121"/>
    <mergeCell ref="N121:O121"/>
    <mergeCell ref="U119:V119"/>
    <mergeCell ref="U120:V120"/>
    <mergeCell ref="P119:Q119"/>
    <mergeCell ref="R119:S119"/>
    <mergeCell ref="B120:C120"/>
    <mergeCell ref="D120:E120"/>
    <mergeCell ref="F120:G120"/>
    <mergeCell ref="H120:I120"/>
    <mergeCell ref="J120:K120"/>
    <mergeCell ref="N120:O120"/>
    <mergeCell ref="P118:Q118"/>
    <mergeCell ref="R118:S118"/>
    <mergeCell ref="B119:C119"/>
    <mergeCell ref="D119:E119"/>
    <mergeCell ref="F119:G119"/>
    <mergeCell ref="H119:I119"/>
    <mergeCell ref="J119:K119"/>
    <mergeCell ref="N119:O119"/>
    <mergeCell ref="U117:V117"/>
    <mergeCell ref="U118:V118"/>
    <mergeCell ref="P117:Q117"/>
    <mergeCell ref="R117:S117"/>
    <mergeCell ref="B118:C118"/>
    <mergeCell ref="D118:E118"/>
    <mergeCell ref="F118:G118"/>
    <mergeCell ref="H118:I118"/>
    <mergeCell ref="J118:K118"/>
    <mergeCell ref="N118:O118"/>
    <mergeCell ref="P116:Q116"/>
    <mergeCell ref="R116:S116"/>
    <mergeCell ref="B117:C117"/>
    <mergeCell ref="D117:E117"/>
    <mergeCell ref="F117:G117"/>
    <mergeCell ref="H117:I117"/>
    <mergeCell ref="J117:K117"/>
    <mergeCell ref="N117:O117"/>
    <mergeCell ref="U115:V115"/>
    <mergeCell ref="U116:V116"/>
    <mergeCell ref="P115:Q115"/>
    <mergeCell ref="R115:S115"/>
    <mergeCell ref="B116:C116"/>
    <mergeCell ref="D116:E116"/>
    <mergeCell ref="F116:G116"/>
    <mergeCell ref="H116:I116"/>
    <mergeCell ref="J116:K116"/>
    <mergeCell ref="N116:O116"/>
    <mergeCell ref="P114:Q114"/>
    <mergeCell ref="R114:S114"/>
    <mergeCell ref="B115:C115"/>
    <mergeCell ref="D115:E115"/>
    <mergeCell ref="F115:G115"/>
    <mergeCell ref="H115:I115"/>
    <mergeCell ref="J115:K115"/>
    <mergeCell ref="N115:O115"/>
    <mergeCell ref="U113:V113"/>
    <mergeCell ref="U114:V114"/>
    <mergeCell ref="P113:Q113"/>
    <mergeCell ref="R113:S113"/>
    <mergeCell ref="B114:C114"/>
    <mergeCell ref="D114:E114"/>
    <mergeCell ref="F114:G114"/>
    <mergeCell ref="H114:I114"/>
    <mergeCell ref="J114:K114"/>
    <mergeCell ref="N114:O114"/>
    <mergeCell ref="P112:Q112"/>
    <mergeCell ref="R112:S112"/>
    <mergeCell ref="B113:C113"/>
    <mergeCell ref="D113:E113"/>
    <mergeCell ref="F113:G113"/>
    <mergeCell ref="H113:I113"/>
    <mergeCell ref="J113:K113"/>
    <mergeCell ref="N113:O113"/>
    <mergeCell ref="U111:V111"/>
    <mergeCell ref="U112:V112"/>
    <mergeCell ref="P111:Q111"/>
    <mergeCell ref="R111:S111"/>
    <mergeCell ref="B112:C112"/>
    <mergeCell ref="D112:E112"/>
    <mergeCell ref="F112:G112"/>
    <mergeCell ref="H112:I112"/>
    <mergeCell ref="J112:K112"/>
    <mergeCell ref="N112:O112"/>
    <mergeCell ref="P110:Q110"/>
    <mergeCell ref="R110:S110"/>
    <mergeCell ref="B111:C111"/>
    <mergeCell ref="D111:E111"/>
    <mergeCell ref="F111:G111"/>
    <mergeCell ref="H111:I111"/>
    <mergeCell ref="J111:K111"/>
    <mergeCell ref="N111:O111"/>
    <mergeCell ref="U109:V109"/>
    <mergeCell ref="U110:V110"/>
    <mergeCell ref="P109:Q109"/>
    <mergeCell ref="R109:S109"/>
    <mergeCell ref="B110:C110"/>
    <mergeCell ref="D110:E110"/>
    <mergeCell ref="F110:G110"/>
    <mergeCell ref="H110:I110"/>
    <mergeCell ref="J110:K110"/>
    <mergeCell ref="N110:O110"/>
    <mergeCell ref="P108:Q108"/>
    <mergeCell ref="R108:S108"/>
    <mergeCell ref="B109:C109"/>
    <mergeCell ref="D109:E109"/>
    <mergeCell ref="F109:G109"/>
    <mergeCell ref="H109:I109"/>
    <mergeCell ref="J109:K109"/>
    <mergeCell ref="N109:O109"/>
    <mergeCell ref="U107:V107"/>
    <mergeCell ref="U108:V108"/>
    <mergeCell ref="P107:Q107"/>
    <mergeCell ref="R107:S107"/>
    <mergeCell ref="B108:C108"/>
    <mergeCell ref="D108:E108"/>
    <mergeCell ref="F108:G108"/>
    <mergeCell ref="H108:I108"/>
    <mergeCell ref="J108:K108"/>
    <mergeCell ref="N108:O108"/>
    <mergeCell ref="P106:Q106"/>
    <mergeCell ref="R106:S106"/>
    <mergeCell ref="B107:C107"/>
    <mergeCell ref="D107:E107"/>
    <mergeCell ref="F107:G107"/>
    <mergeCell ref="H107:I107"/>
    <mergeCell ref="J107:K107"/>
    <mergeCell ref="N107:O107"/>
    <mergeCell ref="U105:V105"/>
    <mergeCell ref="U106:V106"/>
    <mergeCell ref="P105:Q105"/>
    <mergeCell ref="R105:S105"/>
    <mergeCell ref="B106:C106"/>
    <mergeCell ref="D106:E106"/>
    <mergeCell ref="F106:G106"/>
    <mergeCell ref="H106:I106"/>
    <mergeCell ref="J106:K106"/>
    <mergeCell ref="N106:O106"/>
    <mergeCell ref="P104:Q104"/>
    <mergeCell ref="R104:S104"/>
    <mergeCell ref="B105:C105"/>
    <mergeCell ref="D105:E105"/>
    <mergeCell ref="F105:G105"/>
    <mergeCell ref="H105:I105"/>
    <mergeCell ref="J105:K105"/>
    <mergeCell ref="N105:O105"/>
    <mergeCell ref="U103:V103"/>
    <mergeCell ref="U104:V104"/>
    <mergeCell ref="P103:Q103"/>
    <mergeCell ref="R103:S103"/>
    <mergeCell ref="B104:C104"/>
    <mergeCell ref="D104:E104"/>
    <mergeCell ref="F104:G104"/>
    <mergeCell ref="H104:I104"/>
    <mergeCell ref="J104:K104"/>
    <mergeCell ref="N104:O104"/>
    <mergeCell ref="P102:Q102"/>
    <mergeCell ref="R102:S102"/>
    <mergeCell ref="B103:C103"/>
    <mergeCell ref="D103:E103"/>
    <mergeCell ref="F103:G103"/>
    <mergeCell ref="H103:I103"/>
    <mergeCell ref="J103:K103"/>
    <mergeCell ref="N103:O103"/>
    <mergeCell ref="U101:V101"/>
    <mergeCell ref="U102:V102"/>
    <mergeCell ref="P101:Q101"/>
    <mergeCell ref="R101:S101"/>
    <mergeCell ref="B102:C102"/>
    <mergeCell ref="D102:E102"/>
    <mergeCell ref="F102:G102"/>
    <mergeCell ref="H102:I102"/>
    <mergeCell ref="J102:K102"/>
    <mergeCell ref="N102:O102"/>
    <mergeCell ref="P100:Q100"/>
    <mergeCell ref="R100:S100"/>
    <mergeCell ref="B101:C101"/>
    <mergeCell ref="D101:E101"/>
    <mergeCell ref="F101:G101"/>
    <mergeCell ref="H101:I101"/>
    <mergeCell ref="J101:K101"/>
    <mergeCell ref="N101:O101"/>
    <mergeCell ref="U99:V99"/>
    <mergeCell ref="U100:V100"/>
    <mergeCell ref="P99:Q99"/>
    <mergeCell ref="R99:S99"/>
    <mergeCell ref="B100:C100"/>
    <mergeCell ref="D100:E100"/>
    <mergeCell ref="F100:G100"/>
    <mergeCell ref="H100:I100"/>
    <mergeCell ref="J100:K100"/>
    <mergeCell ref="N100:O100"/>
    <mergeCell ref="P98:Q98"/>
    <mergeCell ref="R98:S98"/>
    <mergeCell ref="B99:C99"/>
    <mergeCell ref="D99:E99"/>
    <mergeCell ref="F99:G99"/>
    <mergeCell ref="H99:I99"/>
    <mergeCell ref="J99:K99"/>
    <mergeCell ref="N99:O99"/>
    <mergeCell ref="U97:V97"/>
    <mergeCell ref="U98:V98"/>
    <mergeCell ref="P97:Q97"/>
    <mergeCell ref="R97:S97"/>
    <mergeCell ref="B98:C98"/>
    <mergeCell ref="D98:E98"/>
    <mergeCell ref="F98:G98"/>
    <mergeCell ref="H98:I98"/>
    <mergeCell ref="J98:K98"/>
    <mergeCell ref="N98:O98"/>
    <mergeCell ref="P96:Q96"/>
    <mergeCell ref="R96:S96"/>
    <mergeCell ref="B97:C97"/>
    <mergeCell ref="D97:E97"/>
    <mergeCell ref="F97:G97"/>
    <mergeCell ref="H97:I97"/>
    <mergeCell ref="J97:K97"/>
    <mergeCell ref="N97:O97"/>
    <mergeCell ref="U95:V95"/>
    <mergeCell ref="U96:V96"/>
    <mergeCell ref="P95:Q95"/>
    <mergeCell ref="R95:S95"/>
    <mergeCell ref="B96:C96"/>
    <mergeCell ref="D96:E96"/>
    <mergeCell ref="F96:G96"/>
    <mergeCell ref="H96:I96"/>
    <mergeCell ref="J96:K96"/>
    <mergeCell ref="N96:O96"/>
    <mergeCell ref="P94:Q94"/>
    <mergeCell ref="R94:S94"/>
    <mergeCell ref="B95:C95"/>
    <mergeCell ref="D95:E95"/>
    <mergeCell ref="F95:G95"/>
    <mergeCell ref="H95:I95"/>
    <mergeCell ref="J95:K95"/>
    <mergeCell ref="N95:O95"/>
    <mergeCell ref="U93:V93"/>
    <mergeCell ref="U94:V94"/>
    <mergeCell ref="P93:Q93"/>
    <mergeCell ref="R93:S93"/>
    <mergeCell ref="B94:C94"/>
    <mergeCell ref="D94:E94"/>
    <mergeCell ref="F94:G94"/>
    <mergeCell ref="H94:I94"/>
    <mergeCell ref="J94:K94"/>
    <mergeCell ref="N94:O94"/>
    <mergeCell ref="P92:Q92"/>
    <mergeCell ref="R92:S92"/>
    <mergeCell ref="B93:C93"/>
    <mergeCell ref="D93:E93"/>
    <mergeCell ref="F93:G93"/>
    <mergeCell ref="H93:I93"/>
    <mergeCell ref="J93:K93"/>
    <mergeCell ref="N93:O93"/>
    <mergeCell ref="U91:V91"/>
    <mergeCell ref="U92:V92"/>
    <mergeCell ref="P91:Q91"/>
    <mergeCell ref="R91:S91"/>
    <mergeCell ref="B92:C92"/>
    <mergeCell ref="D92:E92"/>
    <mergeCell ref="F92:G92"/>
    <mergeCell ref="H92:I92"/>
    <mergeCell ref="J92:K92"/>
    <mergeCell ref="N92:O92"/>
    <mergeCell ref="P90:Q90"/>
    <mergeCell ref="R90:S90"/>
    <mergeCell ref="B91:C91"/>
    <mergeCell ref="D91:E91"/>
    <mergeCell ref="F91:G91"/>
    <mergeCell ref="H91:I91"/>
    <mergeCell ref="J91:K91"/>
    <mergeCell ref="N91:O91"/>
    <mergeCell ref="U89:V89"/>
    <mergeCell ref="U90:V90"/>
    <mergeCell ref="P89:Q89"/>
    <mergeCell ref="R89:S89"/>
    <mergeCell ref="B90:C90"/>
    <mergeCell ref="D90:E90"/>
    <mergeCell ref="F90:G90"/>
    <mergeCell ref="H90:I90"/>
    <mergeCell ref="J90:K90"/>
    <mergeCell ref="N90:O90"/>
    <mergeCell ref="P88:Q88"/>
    <mergeCell ref="R88:S88"/>
    <mergeCell ref="B89:C89"/>
    <mergeCell ref="D89:E89"/>
    <mergeCell ref="F89:G89"/>
    <mergeCell ref="H89:I89"/>
    <mergeCell ref="J89:K89"/>
    <mergeCell ref="N89:O89"/>
    <mergeCell ref="U87:V87"/>
    <mergeCell ref="U88:V88"/>
    <mergeCell ref="P87:Q87"/>
    <mergeCell ref="R87:S87"/>
    <mergeCell ref="B88:C88"/>
    <mergeCell ref="D88:E88"/>
    <mergeCell ref="F88:G88"/>
    <mergeCell ref="H88:I88"/>
    <mergeCell ref="J88:K88"/>
    <mergeCell ref="N88:O88"/>
    <mergeCell ref="P86:Q86"/>
    <mergeCell ref="R86:S86"/>
    <mergeCell ref="B87:C87"/>
    <mergeCell ref="D87:E87"/>
    <mergeCell ref="F87:G87"/>
    <mergeCell ref="H87:I87"/>
    <mergeCell ref="J87:K87"/>
    <mergeCell ref="N87:O87"/>
    <mergeCell ref="U85:V85"/>
    <mergeCell ref="U86:V86"/>
    <mergeCell ref="P85:Q85"/>
    <mergeCell ref="R85:S85"/>
    <mergeCell ref="B86:C86"/>
    <mergeCell ref="D86:E86"/>
    <mergeCell ref="F86:G86"/>
    <mergeCell ref="H86:I86"/>
    <mergeCell ref="J86:K86"/>
    <mergeCell ref="N86:O86"/>
    <mergeCell ref="P84:Q84"/>
    <mergeCell ref="R84:S84"/>
    <mergeCell ref="B85:C85"/>
    <mergeCell ref="D85:E85"/>
    <mergeCell ref="F85:G85"/>
    <mergeCell ref="H85:I85"/>
    <mergeCell ref="J85:K85"/>
    <mergeCell ref="N85:O85"/>
    <mergeCell ref="U83:V83"/>
    <mergeCell ref="U84:V84"/>
    <mergeCell ref="P83:Q83"/>
    <mergeCell ref="R83:S83"/>
    <mergeCell ref="B84:C84"/>
    <mergeCell ref="D84:E84"/>
    <mergeCell ref="F84:G84"/>
    <mergeCell ref="H84:I84"/>
    <mergeCell ref="J84:K84"/>
    <mergeCell ref="N84:O84"/>
    <mergeCell ref="P82:Q82"/>
    <mergeCell ref="R82:S82"/>
    <mergeCell ref="B83:C83"/>
    <mergeCell ref="D83:E83"/>
    <mergeCell ref="F83:G83"/>
    <mergeCell ref="H83:I83"/>
    <mergeCell ref="J83:K83"/>
    <mergeCell ref="N83:O83"/>
    <mergeCell ref="U81:V81"/>
    <mergeCell ref="U82:V82"/>
    <mergeCell ref="P81:Q81"/>
    <mergeCell ref="R81:S81"/>
    <mergeCell ref="B82:C82"/>
    <mergeCell ref="D82:E82"/>
    <mergeCell ref="F82:G82"/>
    <mergeCell ref="H82:I82"/>
    <mergeCell ref="J82:K82"/>
    <mergeCell ref="N82:O82"/>
    <mergeCell ref="P80:Q80"/>
    <mergeCell ref="R80:S80"/>
    <mergeCell ref="B81:C81"/>
    <mergeCell ref="D81:E81"/>
    <mergeCell ref="F81:G81"/>
    <mergeCell ref="H81:I81"/>
    <mergeCell ref="J81:K81"/>
    <mergeCell ref="N81:O81"/>
    <mergeCell ref="U79:V79"/>
    <mergeCell ref="U80:V80"/>
    <mergeCell ref="P79:Q79"/>
    <mergeCell ref="R79:S79"/>
    <mergeCell ref="B80:C80"/>
    <mergeCell ref="D80:E80"/>
    <mergeCell ref="F80:G80"/>
    <mergeCell ref="H80:I80"/>
    <mergeCell ref="J80:K80"/>
    <mergeCell ref="N80:O80"/>
    <mergeCell ref="P78:Q78"/>
    <mergeCell ref="R78:S78"/>
    <mergeCell ref="B79:C79"/>
    <mergeCell ref="D79:E79"/>
    <mergeCell ref="F79:G79"/>
    <mergeCell ref="H79:I79"/>
    <mergeCell ref="J79:K79"/>
    <mergeCell ref="N79:O79"/>
    <mergeCell ref="U77:V77"/>
    <mergeCell ref="U78:V78"/>
    <mergeCell ref="P77:Q77"/>
    <mergeCell ref="R77:S77"/>
    <mergeCell ref="B78:C78"/>
    <mergeCell ref="D78:E78"/>
    <mergeCell ref="F78:G78"/>
    <mergeCell ref="H78:I78"/>
    <mergeCell ref="J78:K78"/>
    <mergeCell ref="N78:O78"/>
    <mergeCell ref="P76:Q76"/>
    <mergeCell ref="R76:S76"/>
    <mergeCell ref="B77:C77"/>
    <mergeCell ref="D77:E77"/>
    <mergeCell ref="F77:G77"/>
    <mergeCell ref="H77:I77"/>
    <mergeCell ref="J77:K77"/>
    <mergeCell ref="N77:O77"/>
    <mergeCell ref="U75:V75"/>
    <mergeCell ref="U76:V76"/>
    <mergeCell ref="P75:Q75"/>
    <mergeCell ref="R75:S75"/>
    <mergeCell ref="B76:C76"/>
    <mergeCell ref="D76:E76"/>
    <mergeCell ref="F76:G76"/>
    <mergeCell ref="H76:I76"/>
    <mergeCell ref="J76:K76"/>
    <mergeCell ref="N76:O76"/>
    <mergeCell ref="P74:Q74"/>
    <mergeCell ref="R74:S74"/>
    <mergeCell ref="B75:C75"/>
    <mergeCell ref="D75:E75"/>
    <mergeCell ref="F75:G75"/>
    <mergeCell ref="H75:I75"/>
    <mergeCell ref="J75:K75"/>
    <mergeCell ref="N75:O75"/>
    <mergeCell ref="U73:V73"/>
    <mergeCell ref="U74:V74"/>
    <mergeCell ref="P73:Q73"/>
    <mergeCell ref="R73:S73"/>
    <mergeCell ref="B74:C74"/>
    <mergeCell ref="D74:E74"/>
    <mergeCell ref="F74:G74"/>
    <mergeCell ref="H74:I74"/>
    <mergeCell ref="J74:K74"/>
    <mergeCell ref="N74:O74"/>
    <mergeCell ref="P72:Q72"/>
    <mergeCell ref="R72:S72"/>
    <mergeCell ref="B73:C73"/>
    <mergeCell ref="D73:E73"/>
    <mergeCell ref="F73:G73"/>
    <mergeCell ref="H73:I73"/>
    <mergeCell ref="J73:K73"/>
    <mergeCell ref="N73:O73"/>
    <mergeCell ref="U71:V71"/>
    <mergeCell ref="U72:V72"/>
    <mergeCell ref="P71:Q71"/>
    <mergeCell ref="R71:S71"/>
    <mergeCell ref="B72:C72"/>
    <mergeCell ref="D72:E72"/>
    <mergeCell ref="F72:G72"/>
    <mergeCell ref="H72:I72"/>
    <mergeCell ref="J72:K72"/>
    <mergeCell ref="N72:O72"/>
    <mergeCell ref="P70:Q70"/>
    <mergeCell ref="R70:S70"/>
    <mergeCell ref="B71:C71"/>
    <mergeCell ref="D71:E71"/>
    <mergeCell ref="F71:G71"/>
    <mergeCell ref="H71:I71"/>
    <mergeCell ref="J71:K71"/>
    <mergeCell ref="N71:O71"/>
    <mergeCell ref="U69:V69"/>
    <mergeCell ref="U70:V70"/>
    <mergeCell ref="P69:Q69"/>
    <mergeCell ref="R69:S69"/>
    <mergeCell ref="B70:C70"/>
    <mergeCell ref="D70:E70"/>
    <mergeCell ref="F70:G70"/>
    <mergeCell ref="H70:I70"/>
    <mergeCell ref="J70:K70"/>
    <mergeCell ref="N70:O70"/>
    <mergeCell ref="P68:Q68"/>
    <mergeCell ref="R68:S68"/>
    <mergeCell ref="B69:C69"/>
    <mergeCell ref="D69:E69"/>
    <mergeCell ref="F69:G69"/>
    <mergeCell ref="H69:I69"/>
    <mergeCell ref="J69:K69"/>
    <mergeCell ref="N69:O69"/>
    <mergeCell ref="U67:V67"/>
    <mergeCell ref="U68:V68"/>
    <mergeCell ref="P67:Q67"/>
    <mergeCell ref="R67:S67"/>
    <mergeCell ref="B68:C68"/>
    <mergeCell ref="D68:E68"/>
    <mergeCell ref="F68:G68"/>
    <mergeCell ref="H68:I68"/>
    <mergeCell ref="J68:K68"/>
    <mergeCell ref="N68:O68"/>
    <mergeCell ref="P66:Q66"/>
    <mergeCell ref="R66:S66"/>
    <mergeCell ref="B67:C67"/>
    <mergeCell ref="D67:E67"/>
    <mergeCell ref="F67:G67"/>
    <mergeCell ref="H67:I67"/>
    <mergeCell ref="J67:K67"/>
    <mergeCell ref="N67:O67"/>
    <mergeCell ref="U65:V65"/>
    <mergeCell ref="U66:V66"/>
    <mergeCell ref="P65:Q65"/>
    <mergeCell ref="R65:S65"/>
    <mergeCell ref="B66:C66"/>
    <mergeCell ref="D66:E66"/>
    <mergeCell ref="F66:G66"/>
    <mergeCell ref="H66:I66"/>
    <mergeCell ref="J66:K66"/>
    <mergeCell ref="N66:O66"/>
    <mergeCell ref="P64:Q64"/>
    <mergeCell ref="R64:S64"/>
    <mergeCell ref="B65:C65"/>
    <mergeCell ref="D65:E65"/>
    <mergeCell ref="F65:G65"/>
    <mergeCell ref="H65:I65"/>
    <mergeCell ref="J65:K65"/>
    <mergeCell ref="N65:O65"/>
    <mergeCell ref="U63:V63"/>
    <mergeCell ref="U64:V64"/>
    <mergeCell ref="P63:Q63"/>
    <mergeCell ref="R63:S63"/>
    <mergeCell ref="B64:C64"/>
    <mergeCell ref="D64:E64"/>
    <mergeCell ref="F64:G64"/>
    <mergeCell ref="H64:I64"/>
    <mergeCell ref="J64:K64"/>
    <mergeCell ref="N64:O64"/>
    <mergeCell ref="P62:Q62"/>
    <mergeCell ref="R62:S62"/>
    <mergeCell ref="B63:C63"/>
    <mergeCell ref="D63:E63"/>
    <mergeCell ref="F63:G63"/>
    <mergeCell ref="H63:I63"/>
    <mergeCell ref="J63:K63"/>
    <mergeCell ref="N63:O63"/>
    <mergeCell ref="U61:V61"/>
    <mergeCell ref="U62:V62"/>
    <mergeCell ref="P61:Q61"/>
    <mergeCell ref="R61:S61"/>
    <mergeCell ref="B62:C62"/>
    <mergeCell ref="D62:E62"/>
    <mergeCell ref="F62:G62"/>
    <mergeCell ref="H62:I62"/>
    <mergeCell ref="J62:K62"/>
    <mergeCell ref="N62:O62"/>
    <mergeCell ref="P60:Q60"/>
    <mergeCell ref="R60:S60"/>
    <mergeCell ref="B61:C61"/>
    <mergeCell ref="D61:E61"/>
    <mergeCell ref="F61:G61"/>
    <mergeCell ref="H61:I61"/>
    <mergeCell ref="J61:K61"/>
    <mergeCell ref="N61:O61"/>
    <mergeCell ref="U59:V59"/>
    <mergeCell ref="U60:V60"/>
    <mergeCell ref="P59:Q59"/>
    <mergeCell ref="R59:S59"/>
    <mergeCell ref="B60:C60"/>
    <mergeCell ref="D60:E60"/>
    <mergeCell ref="F60:G60"/>
    <mergeCell ref="H60:I60"/>
    <mergeCell ref="J60:K60"/>
    <mergeCell ref="N60:O60"/>
    <mergeCell ref="P58:Q58"/>
    <mergeCell ref="R58:S58"/>
    <mergeCell ref="B59:C59"/>
    <mergeCell ref="D59:E59"/>
    <mergeCell ref="F59:G59"/>
    <mergeCell ref="H59:I59"/>
    <mergeCell ref="J59:K59"/>
    <mergeCell ref="N59:O59"/>
    <mergeCell ref="U57:V57"/>
    <mergeCell ref="U58:V58"/>
    <mergeCell ref="P57:Q57"/>
    <mergeCell ref="R57:S57"/>
    <mergeCell ref="B58:C58"/>
    <mergeCell ref="D58:E58"/>
    <mergeCell ref="F58:G58"/>
    <mergeCell ref="H58:I58"/>
    <mergeCell ref="J58:K58"/>
    <mergeCell ref="N58:O58"/>
    <mergeCell ref="P56:Q56"/>
    <mergeCell ref="R56:S56"/>
    <mergeCell ref="B57:C57"/>
    <mergeCell ref="D57:E57"/>
    <mergeCell ref="F57:G57"/>
    <mergeCell ref="H57:I57"/>
    <mergeCell ref="J57:K57"/>
    <mergeCell ref="N57:O57"/>
    <mergeCell ref="U55:V55"/>
    <mergeCell ref="U56:V56"/>
    <mergeCell ref="P55:Q55"/>
    <mergeCell ref="R55:S55"/>
    <mergeCell ref="B56:C56"/>
    <mergeCell ref="D56:E56"/>
    <mergeCell ref="F56:G56"/>
    <mergeCell ref="H56:I56"/>
    <mergeCell ref="J56:K56"/>
    <mergeCell ref="N56:O56"/>
    <mergeCell ref="P54:Q54"/>
    <mergeCell ref="R54:S54"/>
    <mergeCell ref="B55:C55"/>
    <mergeCell ref="D55:E55"/>
    <mergeCell ref="F55:G55"/>
    <mergeCell ref="H55:I55"/>
    <mergeCell ref="J55:K55"/>
    <mergeCell ref="N55:O55"/>
    <mergeCell ref="U53:V53"/>
    <mergeCell ref="U54:V54"/>
    <mergeCell ref="P53:Q53"/>
    <mergeCell ref="R53:S53"/>
    <mergeCell ref="B54:C54"/>
    <mergeCell ref="D54:E54"/>
    <mergeCell ref="F54:G54"/>
    <mergeCell ref="H54:I54"/>
    <mergeCell ref="J54:K54"/>
    <mergeCell ref="N54:O54"/>
    <mergeCell ref="P52:Q52"/>
    <mergeCell ref="R52:S52"/>
    <mergeCell ref="B53:C53"/>
    <mergeCell ref="D53:E53"/>
    <mergeCell ref="F53:G53"/>
    <mergeCell ref="H53:I53"/>
    <mergeCell ref="J53:K53"/>
    <mergeCell ref="N53:O53"/>
    <mergeCell ref="U51:V51"/>
    <mergeCell ref="U52:V52"/>
    <mergeCell ref="P51:Q51"/>
    <mergeCell ref="R51:S51"/>
    <mergeCell ref="B52:C52"/>
    <mergeCell ref="D52:E52"/>
    <mergeCell ref="F52:G52"/>
    <mergeCell ref="H52:I52"/>
    <mergeCell ref="J52:K52"/>
    <mergeCell ref="N52:O52"/>
    <mergeCell ref="P50:Q50"/>
    <mergeCell ref="R50:S50"/>
    <mergeCell ref="B51:C51"/>
    <mergeCell ref="D51:E51"/>
    <mergeCell ref="F51:G51"/>
    <mergeCell ref="H51:I51"/>
    <mergeCell ref="J51:K51"/>
    <mergeCell ref="N51:O51"/>
    <mergeCell ref="U49:V49"/>
    <mergeCell ref="U50:V50"/>
    <mergeCell ref="P49:Q49"/>
    <mergeCell ref="R49:S49"/>
    <mergeCell ref="B50:C50"/>
    <mergeCell ref="D50:E50"/>
    <mergeCell ref="F50:G50"/>
    <mergeCell ref="H50:I50"/>
    <mergeCell ref="J50:K50"/>
    <mergeCell ref="N50:O50"/>
    <mergeCell ref="P48:Q48"/>
    <mergeCell ref="R48:S48"/>
    <mergeCell ref="B49:C49"/>
    <mergeCell ref="D49:E49"/>
    <mergeCell ref="F49:G49"/>
    <mergeCell ref="H49:I49"/>
    <mergeCell ref="J49:K49"/>
    <mergeCell ref="N49:O49"/>
    <mergeCell ref="U47:V47"/>
    <mergeCell ref="U48:V48"/>
    <mergeCell ref="P47:Q47"/>
    <mergeCell ref="R47:S47"/>
    <mergeCell ref="B48:C48"/>
    <mergeCell ref="D48:E48"/>
    <mergeCell ref="F48:G48"/>
    <mergeCell ref="H48:I48"/>
    <mergeCell ref="J48:K48"/>
    <mergeCell ref="N48:O48"/>
    <mergeCell ref="P46:Q46"/>
    <mergeCell ref="R46:S46"/>
    <mergeCell ref="B47:C47"/>
    <mergeCell ref="D47:E47"/>
    <mergeCell ref="F47:G47"/>
    <mergeCell ref="H47:I47"/>
    <mergeCell ref="J47:K47"/>
    <mergeCell ref="N47:O47"/>
    <mergeCell ref="U45:V45"/>
    <mergeCell ref="U46:V46"/>
    <mergeCell ref="P45:Q45"/>
    <mergeCell ref="R45:S45"/>
    <mergeCell ref="B46:C46"/>
    <mergeCell ref="D46:E46"/>
    <mergeCell ref="F46:G46"/>
    <mergeCell ref="H46:I46"/>
    <mergeCell ref="J46:K46"/>
    <mergeCell ref="N46:O46"/>
    <mergeCell ref="P44:Q44"/>
    <mergeCell ref="R44:S44"/>
    <mergeCell ref="B45:C45"/>
    <mergeCell ref="D45:E45"/>
    <mergeCell ref="F45:G45"/>
    <mergeCell ref="H45:I45"/>
    <mergeCell ref="J45:K45"/>
    <mergeCell ref="N45:O45"/>
    <mergeCell ref="U43:V43"/>
    <mergeCell ref="U44:V44"/>
    <mergeCell ref="P43:Q43"/>
    <mergeCell ref="R43:S43"/>
    <mergeCell ref="B44:C44"/>
    <mergeCell ref="D44:E44"/>
    <mergeCell ref="F44:G44"/>
    <mergeCell ref="H44:I44"/>
    <mergeCell ref="J44:K44"/>
    <mergeCell ref="N44:O44"/>
    <mergeCell ref="P42:Q42"/>
    <mergeCell ref="R42:S42"/>
    <mergeCell ref="B43:C43"/>
    <mergeCell ref="D43:E43"/>
    <mergeCell ref="F43:G43"/>
    <mergeCell ref="H43:I43"/>
    <mergeCell ref="J43:K43"/>
    <mergeCell ref="N43:O43"/>
    <mergeCell ref="U41:V41"/>
    <mergeCell ref="U42:V42"/>
    <mergeCell ref="P41:Q41"/>
    <mergeCell ref="R41:S41"/>
    <mergeCell ref="B42:C42"/>
    <mergeCell ref="D42:E42"/>
    <mergeCell ref="F42:G42"/>
    <mergeCell ref="H42:I42"/>
    <mergeCell ref="J42:K42"/>
    <mergeCell ref="N42:O42"/>
    <mergeCell ref="P40:Q40"/>
    <mergeCell ref="R40:S40"/>
    <mergeCell ref="B41:C41"/>
    <mergeCell ref="D41:E41"/>
    <mergeCell ref="F41:G41"/>
    <mergeCell ref="H41:I41"/>
    <mergeCell ref="J41:K41"/>
    <mergeCell ref="N41:O41"/>
    <mergeCell ref="U39:V39"/>
    <mergeCell ref="U40:V40"/>
    <mergeCell ref="P39:Q39"/>
    <mergeCell ref="R39:S39"/>
    <mergeCell ref="B40:C40"/>
    <mergeCell ref="D40:E40"/>
    <mergeCell ref="F40:G40"/>
    <mergeCell ref="H40:I40"/>
    <mergeCell ref="J40:K40"/>
    <mergeCell ref="N40:O40"/>
    <mergeCell ref="P38:Q38"/>
    <mergeCell ref="R38:S38"/>
    <mergeCell ref="B39:C39"/>
    <mergeCell ref="D39:E39"/>
    <mergeCell ref="F39:G39"/>
    <mergeCell ref="H39:I39"/>
    <mergeCell ref="J39:K39"/>
    <mergeCell ref="N39:O39"/>
    <mergeCell ref="B35:C35"/>
    <mergeCell ref="D35:E35"/>
    <mergeCell ref="F35:G35"/>
    <mergeCell ref="H35:I35"/>
    <mergeCell ref="J35:K35"/>
    <mergeCell ref="N35:O35"/>
    <mergeCell ref="U37:V37"/>
    <mergeCell ref="U38:V38"/>
    <mergeCell ref="P37:Q37"/>
    <mergeCell ref="R37:S37"/>
    <mergeCell ref="B38:C38"/>
    <mergeCell ref="D38:E38"/>
    <mergeCell ref="F38:G38"/>
    <mergeCell ref="H38:I38"/>
    <mergeCell ref="J38:K38"/>
    <mergeCell ref="N38:O38"/>
    <mergeCell ref="P36:Q36"/>
    <mergeCell ref="R36:S36"/>
    <mergeCell ref="B37:C37"/>
    <mergeCell ref="D37:E37"/>
    <mergeCell ref="F37:G37"/>
    <mergeCell ref="H37:I37"/>
    <mergeCell ref="J37:K37"/>
    <mergeCell ref="N37:O37"/>
    <mergeCell ref="U33:V33"/>
    <mergeCell ref="U34:V34"/>
    <mergeCell ref="P33:Q33"/>
    <mergeCell ref="R33:S33"/>
    <mergeCell ref="B34:C34"/>
    <mergeCell ref="D34:E34"/>
    <mergeCell ref="F34:G34"/>
    <mergeCell ref="H34:I34"/>
    <mergeCell ref="J34:K34"/>
    <mergeCell ref="N34:O34"/>
    <mergeCell ref="P32:Q32"/>
    <mergeCell ref="R32:S32"/>
    <mergeCell ref="B33:C33"/>
    <mergeCell ref="D33:E33"/>
    <mergeCell ref="F33:G33"/>
    <mergeCell ref="H33:I33"/>
    <mergeCell ref="J33:K33"/>
    <mergeCell ref="N33:O33"/>
    <mergeCell ref="L16:L220"/>
    <mergeCell ref="M16:X18"/>
    <mergeCell ref="U35:V35"/>
    <mergeCell ref="U36:V36"/>
    <mergeCell ref="P35:Q35"/>
    <mergeCell ref="R35:S35"/>
    <mergeCell ref="B36:C36"/>
    <mergeCell ref="D36:E36"/>
    <mergeCell ref="F36:G36"/>
    <mergeCell ref="H36:I36"/>
    <mergeCell ref="J36:K36"/>
    <mergeCell ref="N36:O36"/>
    <mergeCell ref="P34:Q34"/>
    <mergeCell ref="R34:S34"/>
    <mergeCell ref="U31:V31"/>
    <mergeCell ref="U32:V32"/>
    <mergeCell ref="P31:Q31"/>
    <mergeCell ref="R31:S31"/>
    <mergeCell ref="B32:C32"/>
    <mergeCell ref="D32:E32"/>
    <mergeCell ref="F32:G32"/>
    <mergeCell ref="H32:I32"/>
    <mergeCell ref="J32:K32"/>
    <mergeCell ref="N32:O32"/>
    <mergeCell ref="J28:K28"/>
    <mergeCell ref="N28:O28"/>
    <mergeCell ref="P30:Q30"/>
    <mergeCell ref="R30:S30"/>
    <mergeCell ref="B31:C31"/>
    <mergeCell ref="D31:E31"/>
    <mergeCell ref="F31:G31"/>
    <mergeCell ref="H31:I31"/>
    <mergeCell ref="J31:K31"/>
    <mergeCell ref="N31:O31"/>
    <mergeCell ref="U29:V29"/>
    <mergeCell ref="U30:V30"/>
    <mergeCell ref="P29:Q29"/>
    <mergeCell ref="R29:S29"/>
    <mergeCell ref="B30:C30"/>
    <mergeCell ref="D30:E30"/>
    <mergeCell ref="F30:G30"/>
    <mergeCell ref="H30:I30"/>
    <mergeCell ref="J30:K30"/>
    <mergeCell ref="N30:O30"/>
    <mergeCell ref="F28:G28"/>
    <mergeCell ref="H28:I28"/>
    <mergeCell ref="P26:Q26"/>
    <mergeCell ref="R26:S26"/>
    <mergeCell ref="B29:C29"/>
    <mergeCell ref="D29:E29"/>
    <mergeCell ref="F29:G29"/>
    <mergeCell ref="H29:I29"/>
    <mergeCell ref="J29:K29"/>
    <mergeCell ref="N29:O29"/>
    <mergeCell ref="U25:V25"/>
    <mergeCell ref="U26:V26"/>
    <mergeCell ref="P25:Q25"/>
    <mergeCell ref="R25:S25"/>
    <mergeCell ref="B26:C26"/>
    <mergeCell ref="D26:E26"/>
    <mergeCell ref="F26:G26"/>
    <mergeCell ref="H26:I26"/>
    <mergeCell ref="J26:K26"/>
    <mergeCell ref="N26:O26"/>
    <mergeCell ref="P28:Q28"/>
    <mergeCell ref="R28:S28"/>
    <mergeCell ref="B25:C25"/>
    <mergeCell ref="D25:E25"/>
    <mergeCell ref="F25:G25"/>
    <mergeCell ref="H25:I25"/>
    <mergeCell ref="J25:K25"/>
    <mergeCell ref="N25:O25"/>
    <mergeCell ref="U27:V27"/>
    <mergeCell ref="U28:V28"/>
    <mergeCell ref="P27:Q27"/>
    <mergeCell ref="R27:S27"/>
    <mergeCell ref="B28:C28"/>
    <mergeCell ref="D28:E28"/>
    <mergeCell ref="R19:S20"/>
    <mergeCell ref="W19:X20"/>
    <mergeCell ref="B21:C21"/>
    <mergeCell ref="D21:E21"/>
    <mergeCell ref="F21:G21"/>
    <mergeCell ref="H21:I21"/>
    <mergeCell ref="J21:K21"/>
    <mergeCell ref="N21:O21"/>
    <mergeCell ref="F19:G20"/>
    <mergeCell ref="H19:I20"/>
    <mergeCell ref="J19:K20"/>
    <mergeCell ref="M19:M20"/>
    <mergeCell ref="N19:O20"/>
    <mergeCell ref="P19:Q20"/>
    <mergeCell ref="U24:V24"/>
    <mergeCell ref="P23:Q23"/>
    <mergeCell ref="R23:S23"/>
    <mergeCell ref="B24:C24"/>
    <mergeCell ref="D24:E24"/>
    <mergeCell ref="F24:G24"/>
    <mergeCell ref="H24:I24"/>
    <mergeCell ref="J24:K24"/>
    <mergeCell ref="N24:O24"/>
    <mergeCell ref="U22:V22"/>
    <mergeCell ref="U8:X9"/>
    <mergeCell ref="A6:E7"/>
    <mergeCell ref="F6:H7"/>
    <mergeCell ref="I6:M7"/>
    <mergeCell ref="N6:P7"/>
    <mergeCell ref="Q6:T7"/>
    <mergeCell ref="U6:X7"/>
    <mergeCell ref="X1:X3"/>
    <mergeCell ref="C1:W3"/>
    <mergeCell ref="T19:T20"/>
    <mergeCell ref="U19:V20"/>
    <mergeCell ref="U21:V21"/>
    <mergeCell ref="B22:C22"/>
    <mergeCell ref="D22:E22"/>
    <mergeCell ref="F22:G22"/>
    <mergeCell ref="H22:I22"/>
    <mergeCell ref="J22:K22"/>
    <mergeCell ref="N22:O22"/>
    <mergeCell ref="W21:X53"/>
    <mergeCell ref="A12:X12"/>
    <mergeCell ref="A13:D14"/>
    <mergeCell ref="E13:X14"/>
    <mergeCell ref="A15:X15"/>
    <mergeCell ref="A16:K18"/>
    <mergeCell ref="B27:C27"/>
    <mergeCell ref="D27:E27"/>
    <mergeCell ref="F27:G27"/>
    <mergeCell ref="H27:I27"/>
    <mergeCell ref="J27:K27"/>
    <mergeCell ref="N27:O27"/>
    <mergeCell ref="P24:Q24"/>
    <mergeCell ref="R24:S24"/>
    <mergeCell ref="A19:A20"/>
    <mergeCell ref="B19:C20"/>
    <mergeCell ref="D19:E20"/>
    <mergeCell ref="P22:Q22"/>
    <mergeCell ref="R22:S22"/>
    <mergeCell ref="B23:C23"/>
    <mergeCell ref="D23:E23"/>
    <mergeCell ref="A1:B3"/>
    <mergeCell ref="A4:E5"/>
    <mergeCell ref="F4:H5"/>
    <mergeCell ref="I4:M5"/>
    <mergeCell ref="N4:P5"/>
    <mergeCell ref="Q4:T5"/>
    <mergeCell ref="U4:X5"/>
    <mergeCell ref="A10:E11"/>
    <mergeCell ref="F10:H11"/>
    <mergeCell ref="I10:M11"/>
    <mergeCell ref="N10:P11"/>
    <mergeCell ref="Q10:T11"/>
    <mergeCell ref="U10:X11"/>
    <mergeCell ref="A8:E9"/>
    <mergeCell ref="F8:H9"/>
    <mergeCell ref="P21:Q21"/>
    <mergeCell ref="R21:S21"/>
    <mergeCell ref="F23:G23"/>
    <mergeCell ref="H23:I23"/>
    <mergeCell ref="J23:K23"/>
    <mergeCell ref="N23:O23"/>
    <mergeCell ref="U23:V23"/>
    <mergeCell ref="I8:M9"/>
    <mergeCell ref="N8:P9"/>
    <mergeCell ref="Q8:T9"/>
  </mergeCells>
  <conditionalFormatting sqref="E13:X14">
    <cfRule type="dataBar" priority="5">
      <dataBar showValue="0">
        <cfvo type="num" val="0"/>
        <cfvo type="num" val="100"/>
        <color rgb="FF2D9D13"/>
      </dataBar>
      <extLst>
        <ext xmlns:x14="http://schemas.microsoft.com/office/spreadsheetml/2009/9/main" uri="{B025F937-C7B1-47D3-B67F-A62EFF666E3E}">
          <x14:id>{6493E64B-674A-41A4-B08D-EE9F112BDAAC}</x14:id>
        </ext>
      </extLst>
    </cfRule>
  </conditionalFormatting>
  <conditionalFormatting sqref="U10:X11">
    <cfRule type="cellIs" dxfId="59" priority="3" operator="greaterThan">
      <formula>0</formula>
    </cfRule>
    <cfRule type="cellIs" dxfId="58" priority="4" operator="lessThan">
      <formula>0</formula>
    </cfRule>
  </conditionalFormatting>
  <conditionalFormatting sqref="F10:H11">
    <cfRule type="cellIs" dxfId="57" priority="1" operator="greaterThan">
      <formula>0</formula>
    </cfRule>
    <cfRule type="cellIs" dxfId="56"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6493E64B-674A-41A4-B08D-EE9F112BDAAC}">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7"/>
  <dimension ref="A1:AA263"/>
  <sheetViews>
    <sheetView showGridLines="0" zoomScale="70" zoomScaleNormal="70" workbookViewId="0">
      <selection activeCell="B31" sqref="B31:C31"/>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767</v>
      </c>
      <c r="B1" s="262"/>
      <c r="C1" s="313" t="str">
        <f>'Hisse İsimleri'!B3</f>
        <v>ALKIM</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520</v>
      </c>
      <c r="G4" s="271"/>
      <c r="H4" s="272"/>
      <c r="I4" s="267" t="s">
        <v>13</v>
      </c>
      <c r="J4" s="268"/>
      <c r="K4" s="268"/>
      <c r="L4" s="268"/>
      <c r="M4" s="268"/>
      <c r="N4" s="275" t="e">
        <f>AVERAGE(T21:T170)</f>
        <v>#DIV/0!</v>
      </c>
      <c r="O4" s="275"/>
      <c r="P4" s="276"/>
      <c r="Q4" s="267" t="s">
        <v>673</v>
      </c>
      <c r="R4" s="268"/>
      <c r="S4" s="268"/>
      <c r="T4" s="268"/>
      <c r="U4" s="279">
        <f>F8*F4</f>
        <v>15870.4</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2000</v>
      </c>
      <c r="G6" s="208"/>
      <c r="H6" s="209"/>
      <c r="I6" s="269" t="s">
        <v>674</v>
      </c>
      <c r="J6" s="270"/>
      <c r="K6" s="270"/>
      <c r="L6" s="270"/>
      <c r="M6" s="270"/>
      <c r="N6" s="282">
        <f>U6/F4</f>
        <v>29.638100192307689</v>
      </c>
      <c r="O6" s="282"/>
      <c r="P6" s="284"/>
      <c r="Q6" s="269" t="s">
        <v>675</v>
      </c>
      <c r="R6" s="270"/>
      <c r="S6" s="270"/>
      <c r="T6" s="270"/>
      <c r="U6" s="282">
        <f>SUM(J21:K220)-SUM(U21:U170)</f>
        <v>15411.812099999999</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İsimleri'!D3</f>
        <v>30.52</v>
      </c>
      <c r="G8" s="282"/>
      <c r="H8" s="284"/>
      <c r="I8" s="269" t="s">
        <v>677</v>
      </c>
      <c r="J8" s="270"/>
      <c r="K8" s="270"/>
      <c r="L8" s="270"/>
      <c r="M8" s="270"/>
      <c r="N8" s="282">
        <f>SUM(U21:U170)</f>
        <v>0</v>
      </c>
      <c r="O8" s="282"/>
      <c r="P8" s="284"/>
      <c r="Q8" s="295" t="s">
        <v>678</v>
      </c>
      <c r="R8" s="296"/>
      <c r="S8" s="296"/>
      <c r="T8" s="297"/>
      <c r="U8" s="301">
        <f>SUM(H21:I220)</f>
        <v>30.7621</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İsimleri'!E3</f>
        <v>-1.7399999999999999E-2</v>
      </c>
      <c r="G10" s="287"/>
      <c r="H10" s="288"/>
      <c r="I10" s="269" t="s">
        <v>710</v>
      </c>
      <c r="J10" s="270"/>
      <c r="K10" s="270"/>
      <c r="L10" s="270"/>
      <c r="M10" s="270"/>
      <c r="N10" s="291">
        <f>U10/U6</f>
        <v>2.9755611930929293E-2</v>
      </c>
      <c r="O10" s="291"/>
      <c r="P10" s="292"/>
      <c r="Q10" s="295" t="s">
        <v>587</v>
      </c>
      <c r="R10" s="296"/>
      <c r="S10" s="296"/>
      <c r="T10" s="297"/>
      <c r="U10" s="301">
        <f>U4-U6</f>
        <v>458.58790000000045</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26</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22.6</v>
      </c>
      <c r="E21" s="238"/>
      <c r="F21" s="239">
        <v>60</v>
      </c>
      <c r="G21" s="239"/>
      <c r="H21" s="307">
        <f>(D21*F21)*(2/1000)</f>
        <v>2.7120000000000002</v>
      </c>
      <c r="I21" s="308"/>
      <c r="J21" s="309">
        <f>D21*F21+H21</f>
        <v>1358.712</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0">
        <v>44682</v>
      </c>
      <c r="C22" s="252"/>
      <c r="D22" s="251">
        <v>23</v>
      </c>
      <c r="E22" s="251"/>
      <c r="F22" s="252">
        <v>30</v>
      </c>
      <c r="G22" s="252"/>
      <c r="H22" s="251">
        <f t="shared" ref="H22:H30" si="0">(D22*F22)*(2/1000)</f>
        <v>1.3800000000000001</v>
      </c>
      <c r="I22" s="251"/>
      <c r="J22" s="323">
        <f t="shared" ref="J22:J85" si="1">D22*F22+H22</f>
        <v>691.38</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22</v>
      </c>
      <c r="E23" s="238"/>
      <c r="F23" s="239">
        <v>60</v>
      </c>
      <c r="G23" s="239"/>
      <c r="H23" s="307">
        <f>(D23*F23)*(2/1000)</f>
        <v>2.64</v>
      </c>
      <c r="I23" s="308"/>
      <c r="J23" s="309">
        <f t="shared" si="1"/>
        <v>1322.64</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21.1</v>
      </c>
      <c r="E24" s="251"/>
      <c r="F24" s="252">
        <v>30</v>
      </c>
      <c r="G24" s="252"/>
      <c r="H24" s="251">
        <f t="shared" si="0"/>
        <v>1.266</v>
      </c>
      <c r="I24" s="251"/>
      <c r="J24" s="323">
        <f t="shared" si="1"/>
        <v>634.26599999999996</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24.9</v>
      </c>
      <c r="E25" s="238"/>
      <c r="F25" s="239">
        <v>70</v>
      </c>
      <c r="G25" s="239"/>
      <c r="H25" s="307">
        <f>(D25*F25)*(2/1000)</f>
        <v>3.4860000000000002</v>
      </c>
      <c r="I25" s="308"/>
      <c r="J25" s="309">
        <f t="shared" si="1"/>
        <v>1746.4860000000001</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28.7</v>
      </c>
      <c r="E26" s="251"/>
      <c r="F26" s="252">
        <v>25</v>
      </c>
      <c r="G26" s="252"/>
      <c r="H26" s="251">
        <f t="shared" si="0"/>
        <v>1.4350000000000001</v>
      </c>
      <c r="I26" s="251"/>
      <c r="J26" s="323">
        <f t="shared" si="1"/>
        <v>718.93499999999995</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38</v>
      </c>
      <c r="E27" s="238"/>
      <c r="F27" s="239">
        <v>30</v>
      </c>
      <c r="G27" s="239"/>
      <c r="H27" s="307">
        <f>(D27*F27)*(2/1000)</f>
        <v>2.2800000000000002</v>
      </c>
      <c r="I27" s="308"/>
      <c r="J27" s="309">
        <f t="shared" si="1"/>
        <v>1142.28</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39.4</v>
      </c>
      <c r="E28" s="251"/>
      <c r="F28" s="252">
        <v>80</v>
      </c>
      <c r="G28" s="252"/>
      <c r="H28" s="251">
        <f t="shared" si="0"/>
        <v>6.3040000000000003</v>
      </c>
      <c r="I28" s="251"/>
      <c r="J28" s="323">
        <f t="shared" si="1"/>
        <v>3158.3040000000001</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40.15</v>
      </c>
      <c r="E29" s="238"/>
      <c r="F29" s="239">
        <v>25</v>
      </c>
      <c r="G29" s="239"/>
      <c r="H29" s="307">
        <f>(D29*F29)*(2/1000)</f>
        <v>2.0074999999999998</v>
      </c>
      <c r="I29" s="308"/>
      <c r="J29" s="309">
        <f t="shared" si="1"/>
        <v>1005.7575000000001</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33.72</v>
      </c>
      <c r="E30" s="251"/>
      <c r="F30" s="252">
        <v>80</v>
      </c>
      <c r="G30" s="252"/>
      <c r="H30" s="251">
        <f t="shared" si="0"/>
        <v>5.3952</v>
      </c>
      <c r="I30" s="251"/>
      <c r="J30" s="323">
        <f t="shared" si="1"/>
        <v>2702.9951999999998</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30.94</v>
      </c>
      <c r="E31" s="238"/>
      <c r="F31" s="239">
        <v>30</v>
      </c>
      <c r="G31" s="239"/>
      <c r="H31" s="251">
        <f t="shared" ref="H31" si="3">(D31*F31)*(2/1000)</f>
        <v>1.8564000000000001</v>
      </c>
      <c r="I31" s="251"/>
      <c r="J31" s="309">
        <f t="shared" si="1"/>
        <v>930.05640000000005</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2"/>
      <c r="C32" s="252"/>
      <c r="D32" s="251"/>
      <c r="E32" s="251"/>
      <c r="F32" s="252"/>
      <c r="G32" s="252"/>
      <c r="H32" s="251"/>
      <c r="I32" s="251"/>
      <c r="J32" s="323">
        <f t="shared" si="1"/>
        <v>0</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51"/>
      <c r="I33" s="251"/>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51"/>
      <c r="I35" s="251"/>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51"/>
      <c r="I37" s="251"/>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51"/>
      <c r="I39" s="251"/>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51"/>
      <c r="I41" s="251"/>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51"/>
      <c r="I43" s="251"/>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51"/>
      <c r="I45" s="251"/>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51"/>
      <c r="I47" s="251"/>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51"/>
      <c r="I49" s="251"/>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51"/>
      <c r="I51" s="251"/>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51"/>
      <c r="I53" s="251"/>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51"/>
      <c r="I55" s="251"/>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51"/>
      <c r="I57" s="251"/>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51"/>
      <c r="I59" s="251"/>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51"/>
      <c r="I61" s="251"/>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51"/>
      <c r="I63" s="251"/>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51"/>
      <c r="I65" s="251"/>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51"/>
      <c r="I67" s="251"/>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51"/>
      <c r="I69" s="251"/>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51"/>
      <c r="I71" s="251"/>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51"/>
      <c r="I73" s="251"/>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51"/>
      <c r="I75" s="251"/>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51"/>
      <c r="I77" s="251"/>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51"/>
      <c r="I79" s="251"/>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51"/>
      <c r="I81" s="251"/>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51"/>
      <c r="I83" s="251"/>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51"/>
      <c r="I85" s="251"/>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4">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51"/>
      <c r="I87" s="251"/>
      <c r="J87" s="309">
        <f t="shared" si="4"/>
        <v>0</v>
      </c>
      <c r="K87" s="309"/>
      <c r="L87" s="343"/>
      <c r="M87" s="22">
        <v>67</v>
      </c>
      <c r="N87" s="239"/>
      <c r="O87" s="239"/>
      <c r="P87" s="238"/>
      <c r="Q87" s="238"/>
      <c r="R87" s="239"/>
      <c r="S87" s="239"/>
      <c r="T87" s="23"/>
      <c r="U87" s="256">
        <f t="shared" ref="U87:U150" si="5">P87+R87</f>
        <v>0</v>
      </c>
      <c r="V87" s="257"/>
      <c r="W87"/>
      <c r="X87"/>
    </row>
    <row r="88" spans="1:24" ht="22.5" customHeight="1" x14ac:dyDescent="0.25">
      <c r="A88" s="14">
        <v>68</v>
      </c>
      <c r="B88" s="252"/>
      <c r="C88" s="252"/>
      <c r="D88" s="251"/>
      <c r="E88" s="251"/>
      <c r="F88" s="252"/>
      <c r="G88" s="252"/>
      <c r="H88" s="251"/>
      <c r="I88" s="251"/>
      <c r="J88" s="323">
        <f t="shared" si="4"/>
        <v>0</v>
      </c>
      <c r="K88" s="324"/>
      <c r="L88" s="343"/>
      <c r="M88" s="15">
        <v>68</v>
      </c>
      <c r="N88" s="260"/>
      <c r="O88" s="260"/>
      <c r="P88" s="259"/>
      <c r="Q88" s="259"/>
      <c r="R88" s="260"/>
      <c r="S88" s="260"/>
      <c r="T88" s="24"/>
      <c r="U88" s="340">
        <f t="shared" si="5"/>
        <v>0</v>
      </c>
      <c r="V88" s="341"/>
      <c r="W88"/>
      <c r="X88"/>
    </row>
    <row r="89" spans="1:24" ht="22.5" customHeight="1" x14ac:dyDescent="0.25">
      <c r="A89" s="22">
        <v>69</v>
      </c>
      <c r="B89" s="239"/>
      <c r="C89" s="239"/>
      <c r="D89" s="238"/>
      <c r="E89" s="238"/>
      <c r="F89" s="239"/>
      <c r="G89" s="239"/>
      <c r="H89" s="251"/>
      <c r="I89" s="251"/>
      <c r="J89" s="309">
        <f t="shared" si="4"/>
        <v>0</v>
      </c>
      <c r="K89" s="309"/>
      <c r="L89" s="343"/>
      <c r="M89" s="22">
        <v>69</v>
      </c>
      <c r="N89" s="239"/>
      <c r="O89" s="239"/>
      <c r="P89" s="238"/>
      <c r="Q89" s="238"/>
      <c r="R89" s="239"/>
      <c r="S89" s="239"/>
      <c r="T89" s="23"/>
      <c r="U89" s="256">
        <f t="shared" si="5"/>
        <v>0</v>
      </c>
      <c r="V89" s="257"/>
      <c r="W89"/>
      <c r="X89"/>
    </row>
    <row r="90" spans="1:24" ht="22.5" customHeight="1" x14ac:dyDescent="0.25">
      <c r="A90" s="14">
        <v>70</v>
      </c>
      <c r="B90" s="252"/>
      <c r="C90" s="252"/>
      <c r="D90" s="251"/>
      <c r="E90" s="251"/>
      <c r="F90" s="252"/>
      <c r="G90" s="252"/>
      <c r="H90" s="251"/>
      <c r="I90" s="251"/>
      <c r="J90" s="323">
        <f t="shared" si="4"/>
        <v>0</v>
      </c>
      <c r="K90" s="324"/>
      <c r="L90" s="343"/>
      <c r="M90" s="15">
        <v>70</v>
      </c>
      <c r="N90" s="260"/>
      <c r="O90" s="260"/>
      <c r="P90" s="259"/>
      <c r="Q90" s="259"/>
      <c r="R90" s="260"/>
      <c r="S90" s="260"/>
      <c r="T90" s="24"/>
      <c r="U90" s="340">
        <f t="shared" si="5"/>
        <v>0</v>
      </c>
      <c r="V90" s="341"/>
      <c r="W90"/>
      <c r="X90"/>
    </row>
    <row r="91" spans="1:24" ht="22.5" customHeight="1" x14ac:dyDescent="0.25">
      <c r="A91" s="22">
        <v>71</v>
      </c>
      <c r="B91" s="239"/>
      <c r="C91" s="239"/>
      <c r="D91" s="238"/>
      <c r="E91" s="238"/>
      <c r="F91" s="239"/>
      <c r="G91" s="239"/>
      <c r="H91" s="251"/>
      <c r="I91" s="251"/>
      <c r="J91" s="309">
        <f t="shared" si="4"/>
        <v>0</v>
      </c>
      <c r="K91" s="309"/>
      <c r="L91" s="343"/>
      <c r="M91" s="22">
        <v>71</v>
      </c>
      <c r="N91" s="239"/>
      <c r="O91" s="239"/>
      <c r="P91" s="238"/>
      <c r="Q91" s="238"/>
      <c r="R91" s="239"/>
      <c r="S91" s="239"/>
      <c r="T91" s="23"/>
      <c r="U91" s="256">
        <f t="shared" si="5"/>
        <v>0</v>
      </c>
      <c r="V91" s="257"/>
      <c r="W91"/>
      <c r="X91"/>
    </row>
    <row r="92" spans="1:24" ht="22.5" customHeight="1" x14ac:dyDescent="0.25">
      <c r="A92" s="14">
        <v>72</v>
      </c>
      <c r="B92" s="252"/>
      <c r="C92" s="252"/>
      <c r="D92" s="251"/>
      <c r="E92" s="251"/>
      <c r="F92" s="252"/>
      <c r="G92" s="252"/>
      <c r="H92" s="251"/>
      <c r="I92" s="251"/>
      <c r="J92" s="323">
        <f t="shared" si="4"/>
        <v>0</v>
      </c>
      <c r="K92" s="324"/>
      <c r="L92" s="343"/>
      <c r="M92" s="15">
        <v>72</v>
      </c>
      <c r="N92" s="260"/>
      <c r="O92" s="260"/>
      <c r="P92" s="259"/>
      <c r="Q92" s="259"/>
      <c r="R92" s="260"/>
      <c r="S92" s="260"/>
      <c r="T92" s="24"/>
      <c r="U92" s="340">
        <f t="shared" si="5"/>
        <v>0</v>
      </c>
      <c r="V92" s="341"/>
      <c r="W92"/>
      <c r="X92"/>
    </row>
    <row r="93" spans="1:24" ht="22.5" customHeight="1" x14ac:dyDescent="0.25">
      <c r="A93" s="22">
        <v>73</v>
      </c>
      <c r="B93" s="239"/>
      <c r="C93" s="239"/>
      <c r="D93" s="238"/>
      <c r="E93" s="238"/>
      <c r="F93" s="239"/>
      <c r="G93" s="239"/>
      <c r="H93" s="251"/>
      <c r="I93" s="251"/>
      <c r="J93" s="309">
        <f t="shared" si="4"/>
        <v>0</v>
      </c>
      <c r="K93" s="309"/>
      <c r="L93" s="343"/>
      <c r="M93" s="22">
        <v>73</v>
      </c>
      <c r="N93" s="239"/>
      <c r="O93" s="239"/>
      <c r="P93" s="238"/>
      <c r="Q93" s="238"/>
      <c r="R93" s="239"/>
      <c r="S93" s="239"/>
      <c r="T93" s="23"/>
      <c r="U93" s="256">
        <f t="shared" si="5"/>
        <v>0</v>
      </c>
      <c r="V93" s="257"/>
      <c r="W93"/>
      <c r="X93"/>
    </row>
    <row r="94" spans="1:24" ht="22.5" customHeight="1" x14ac:dyDescent="0.25">
      <c r="A94" s="14">
        <v>74</v>
      </c>
      <c r="B94" s="252"/>
      <c r="C94" s="252"/>
      <c r="D94" s="251"/>
      <c r="E94" s="251"/>
      <c r="F94" s="252"/>
      <c r="G94" s="252"/>
      <c r="H94" s="251"/>
      <c r="I94" s="251"/>
      <c r="J94" s="323">
        <f t="shared" si="4"/>
        <v>0</v>
      </c>
      <c r="K94" s="324"/>
      <c r="L94" s="343"/>
      <c r="M94" s="15">
        <v>74</v>
      </c>
      <c r="N94" s="260"/>
      <c r="O94" s="260"/>
      <c r="P94" s="259"/>
      <c r="Q94" s="259"/>
      <c r="R94" s="260"/>
      <c r="S94" s="260"/>
      <c r="T94" s="24"/>
      <c r="U94" s="340">
        <f t="shared" si="5"/>
        <v>0</v>
      </c>
      <c r="V94" s="341"/>
      <c r="W94"/>
      <c r="X94"/>
    </row>
    <row r="95" spans="1:24" ht="22.5" customHeight="1" x14ac:dyDescent="0.25">
      <c r="A95" s="22">
        <v>75</v>
      </c>
      <c r="B95" s="239"/>
      <c r="C95" s="239"/>
      <c r="D95" s="238"/>
      <c r="E95" s="238"/>
      <c r="F95" s="239"/>
      <c r="G95" s="239"/>
      <c r="H95" s="251"/>
      <c r="I95" s="251"/>
      <c r="J95" s="309">
        <f t="shared" si="4"/>
        <v>0</v>
      </c>
      <c r="K95" s="309"/>
      <c r="L95" s="343"/>
      <c r="M95" s="22">
        <v>75</v>
      </c>
      <c r="N95" s="239"/>
      <c r="O95" s="239"/>
      <c r="P95" s="238"/>
      <c r="Q95" s="238"/>
      <c r="R95" s="239"/>
      <c r="S95" s="239"/>
      <c r="T95" s="23"/>
      <c r="U95" s="256">
        <f t="shared" si="5"/>
        <v>0</v>
      </c>
      <c r="V95" s="257"/>
      <c r="W95"/>
      <c r="X95"/>
    </row>
    <row r="96" spans="1:24" ht="22.5" customHeight="1" x14ac:dyDescent="0.25">
      <c r="A96" s="14">
        <v>76</v>
      </c>
      <c r="B96" s="252"/>
      <c r="C96" s="252"/>
      <c r="D96" s="251"/>
      <c r="E96" s="251"/>
      <c r="F96" s="252"/>
      <c r="G96" s="252"/>
      <c r="H96" s="251"/>
      <c r="I96" s="251"/>
      <c r="J96" s="323">
        <f t="shared" si="4"/>
        <v>0</v>
      </c>
      <c r="K96" s="324"/>
      <c r="L96" s="343"/>
      <c r="M96" s="15">
        <v>76</v>
      </c>
      <c r="N96" s="260"/>
      <c r="O96" s="260"/>
      <c r="P96" s="259"/>
      <c r="Q96" s="259"/>
      <c r="R96" s="260"/>
      <c r="S96" s="260"/>
      <c r="T96" s="24"/>
      <c r="U96" s="340">
        <f t="shared" si="5"/>
        <v>0</v>
      </c>
      <c r="V96" s="341"/>
      <c r="W96"/>
      <c r="X96"/>
    </row>
    <row r="97" spans="1:24" ht="22.5" customHeight="1" x14ac:dyDescent="0.25">
      <c r="A97" s="22">
        <v>77</v>
      </c>
      <c r="B97" s="239"/>
      <c r="C97" s="239"/>
      <c r="D97" s="238"/>
      <c r="E97" s="238"/>
      <c r="F97" s="239"/>
      <c r="G97" s="239"/>
      <c r="H97" s="251"/>
      <c r="I97" s="251"/>
      <c r="J97" s="309">
        <f t="shared" si="4"/>
        <v>0</v>
      </c>
      <c r="K97" s="309"/>
      <c r="L97" s="343"/>
      <c r="M97" s="22">
        <v>77</v>
      </c>
      <c r="N97" s="239"/>
      <c r="O97" s="239"/>
      <c r="P97" s="238"/>
      <c r="Q97" s="238"/>
      <c r="R97" s="239"/>
      <c r="S97" s="239"/>
      <c r="T97" s="23"/>
      <c r="U97" s="256">
        <f t="shared" si="5"/>
        <v>0</v>
      </c>
      <c r="V97" s="257"/>
      <c r="W97"/>
      <c r="X97"/>
    </row>
    <row r="98" spans="1:24" ht="22.5" customHeight="1" x14ac:dyDescent="0.25">
      <c r="A98" s="14">
        <v>78</v>
      </c>
      <c r="B98" s="252"/>
      <c r="C98" s="252"/>
      <c r="D98" s="251"/>
      <c r="E98" s="251"/>
      <c r="F98" s="252"/>
      <c r="G98" s="252"/>
      <c r="H98" s="251"/>
      <c r="I98" s="251"/>
      <c r="J98" s="323">
        <f t="shared" si="4"/>
        <v>0</v>
      </c>
      <c r="K98" s="324"/>
      <c r="L98" s="343"/>
      <c r="M98" s="15">
        <v>78</v>
      </c>
      <c r="N98" s="260"/>
      <c r="O98" s="260"/>
      <c r="P98" s="259"/>
      <c r="Q98" s="259"/>
      <c r="R98" s="260"/>
      <c r="S98" s="260"/>
      <c r="T98" s="24"/>
      <c r="U98" s="340">
        <f t="shared" si="5"/>
        <v>0</v>
      </c>
      <c r="V98" s="341"/>
      <c r="W98"/>
      <c r="X98"/>
    </row>
    <row r="99" spans="1:24" ht="22.5" customHeight="1" x14ac:dyDescent="0.25">
      <c r="A99" s="22">
        <v>79</v>
      </c>
      <c r="B99" s="239"/>
      <c r="C99" s="239"/>
      <c r="D99" s="238"/>
      <c r="E99" s="238"/>
      <c r="F99" s="239"/>
      <c r="G99" s="239"/>
      <c r="H99" s="251"/>
      <c r="I99" s="251"/>
      <c r="J99" s="309">
        <f t="shared" si="4"/>
        <v>0</v>
      </c>
      <c r="K99" s="309"/>
      <c r="L99" s="343"/>
      <c r="M99" s="22">
        <v>79</v>
      </c>
      <c r="N99" s="239"/>
      <c r="O99" s="239"/>
      <c r="P99" s="238"/>
      <c r="Q99" s="238"/>
      <c r="R99" s="239"/>
      <c r="S99" s="239"/>
      <c r="T99" s="23"/>
      <c r="U99" s="256">
        <f t="shared" si="5"/>
        <v>0</v>
      </c>
      <c r="V99" s="257"/>
      <c r="W99"/>
      <c r="X99"/>
    </row>
    <row r="100" spans="1:24" ht="22.5" customHeight="1" x14ac:dyDescent="0.25">
      <c r="A100" s="14">
        <v>80</v>
      </c>
      <c r="B100" s="252"/>
      <c r="C100" s="252"/>
      <c r="D100" s="251"/>
      <c r="E100" s="251"/>
      <c r="F100" s="252"/>
      <c r="G100" s="252"/>
      <c r="H100" s="251"/>
      <c r="I100" s="251"/>
      <c r="J100" s="323">
        <f t="shared" si="4"/>
        <v>0</v>
      </c>
      <c r="K100" s="324"/>
      <c r="L100" s="343"/>
      <c r="M100" s="15">
        <v>80</v>
      </c>
      <c r="N100" s="260"/>
      <c r="O100" s="260"/>
      <c r="P100" s="259"/>
      <c r="Q100" s="259"/>
      <c r="R100" s="260"/>
      <c r="S100" s="260"/>
      <c r="T100" s="24"/>
      <c r="U100" s="340">
        <f t="shared" si="5"/>
        <v>0</v>
      </c>
      <c r="V100" s="341"/>
      <c r="W100"/>
      <c r="X100"/>
    </row>
    <row r="101" spans="1:24" ht="22.5" customHeight="1" x14ac:dyDescent="0.25">
      <c r="A101" s="22">
        <v>81</v>
      </c>
      <c r="B101" s="239"/>
      <c r="C101" s="239"/>
      <c r="D101" s="238"/>
      <c r="E101" s="238"/>
      <c r="F101" s="239"/>
      <c r="G101" s="239"/>
      <c r="H101" s="251"/>
      <c r="I101" s="251"/>
      <c r="J101" s="309">
        <f t="shared" si="4"/>
        <v>0</v>
      </c>
      <c r="K101" s="309"/>
      <c r="L101" s="343"/>
      <c r="M101" s="22">
        <v>81</v>
      </c>
      <c r="N101" s="239"/>
      <c r="O101" s="239"/>
      <c r="P101" s="238"/>
      <c r="Q101" s="238"/>
      <c r="R101" s="239"/>
      <c r="S101" s="239"/>
      <c r="T101" s="23"/>
      <c r="U101" s="256">
        <f t="shared" si="5"/>
        <v>0</v>
      </c>
      <c r="V101" s="257"/>
      <c r="W101"/>
      <c r="X101"/>
    </row>
    <row r="102" spans="1:24" ht="22.5" customHeight="1" x14ac:dyDescent="0.25">
      <c r="A102" s="14">
        <v>82</v>
      </c>
      <c r="B102" s="252"/>
      <c r="C102" s="252"/>
      <c r="D102" s="251"/>
      <c r="E102" s="251"/>
      <c r="F102" s="252"/>
      <c r="G102" s="252"/>
      <c r="H102" s="251"/>
      <c r="I102" s="251"/>
      <c r="J102" s="323">
        <f t="shared" si="4"/>
        <v>0</v>
      </c>
      <c r="K102" s="324"/>
      <c r="L102" s="343"/>
      <c r="M102" s="15">
        <v>82</v>
      </c>
      <c r="N102" s="260"/>
      <c r="O102" s="260"/>
      <c r="P102" s="259"/>
      <c r="Q102" s="259"/>
      <c r="R102" s="260"/>
      <c r="S102" s="260"/>
      <c r="T102" s="24"/>
      <c r="U102" s="340">
        <f t="shared" si="5"/>
        <v>0</v>
      </c>
      <c r="V102" s="341"/>
      <c r="W102"/>
      <c r="X102"/>
    </row>
    <row r="103" spans="1:24" ht="22.5" customHeight="1" x14ac:dyDescent="0.25">
      <c r="A103" s="22">
        <v>83</v>
      </c>
      <c r="B103" s="239"/>
      <c r="C103" s="239"/>
      <c r="D103" s="238"/>
      <c r="E103" s="238"/>
      <c r="F103" s="239"/>
      <c r="G103" s="239"/>
      <c r="H103" s="251"/>
      <c r="I103" s="251"/>
      <c r="J103" s="309">
        <f t="shared" si="4"/>
        <v>0</v>
      </c>
      <c r="K103" s="309"/>
      <c r="L103" s="343"/>
      <c r="M103" s="22">
        <v>83</v>
      </c>
      <c r="N103" s="239"/>
      <c r="O103" s="239"/>
      <c r="P103" s="238"/>
      <c r="Q103" s="238"/>
      <c r="R103" s="239"/>
      <c r="S103" s="239"/>
      <c r="T103" s="23"/>
      <c r="U103" s="256">
        <f t="shared" si="5"/>
        <v>0</v>
      </c>
      <c r="V103" s="257"/>
      <c r="W103"/>
      <c r="X103"/>
    </row>
    <row r="104" spans="1:24" ht="22.5" customHeight="1" x14ac:dyDescent="0.25">
      <c r="A104" s="14">
        <v>84</v>
      </c>
      <c r="B104" s="252"/>
      <c r="C104" s="252"/>
      <c r="D104" s="251"/>
      <c r="E104" s="251"/>
      <c r="F104" s="252"/>
      <c r="G104" s="252"/>
      <c r="H104" s="251"/>
      <c r="I104" s="251"/>
      <c r="J104" s="323">
        <f t="shared" si="4"/>
        <v>0</v>
      </c>
      <c r="K104" s="324"/>
      <c r="L104" s="343"/>
      <c r="M104" s="15">
        <v>84</v>
      </c>
      <c r="N104" s="260"/>
      <c r="O104" s="260"/>
      <c r="P104" s="259"/>
      <c r="Q104" s="259"/>
      <c r="R104" s="260"/>
      <c r="S104" s="260"/>
      <c r="T104" s="24"/>
      <c r="U104" s="340">
        <f t="shared" si="5"/>
        <v>0</v>
      </c>
      <c r="V104" s="341"/>
      <c r="W104"/>
      <c r="X104"/>
    </row>
    <row r="105" spans="1:24" ht="22.5" customHeight="1" x14ac:dyDescent="0.25">
      <c r="A105" s="22">
        <v>85</v>
      </c>
      <c r="B105" s="239"/>
      <c r="C105" s="239"/>
      <c r="D105" s="238"/>
      <c r="E105" s="238"/>
      <c r="F105" s="239"/>
      <c r="G105" s="239"/>
      <c r="H105" s="251"/>
      <c r="I105" s="251"/>
      <c r="J105" s="309">
        <f t="shared" si="4"/>
        <v>0</v>
      </c>
      <c r="K105" s="309"/>
      <c r="L105" s="343"/>
      <c r="M105" s="22">
        <v>85</v>
      </c>
      <c r="N105" s="239"/>
      <c r="O105" s="239"/>
      <c r="P105" s="238"/>
      <c r="Q105" s="238"/>
      <c r="R105" s="239"/>
      <c r="S105" s="239"/>
      <c r="T105" s="23"/>
      <c r="U105" s="256">
        <f t="shared" si="5"/>
        <v>0</v>
      </c>
      <c r="V105" s="257"/>
      <c r="W105"/>
      <c r="X105"/>
    </row>
    <row r="106" spans="1:24" ht="22.5" customHeight="1" x14ac:dyDescent="0.25">
      <c r="A106" s="14">
        <v>86</v>
      </c>
      <c r="B106" s="252"/>
      <c r="C106" s="252"/>
      <c r="D106" s="251"/>
      <c r="E106" s="251"/>
      <c r="F106" s="252"/>
      <c r="G106" s="252"/>
      <c r="H106" s="251"/>
      <c r="I106" s="251"/>
      <c r="J106" s="323">
        <f t="shared" si="4"/>
        <v>0</v>
      </c>
      <c r="K106" s="324"/>
      <c r="L106" s="343"/>
      <c r="M106" s="15">
        <v>86</v>
      </c>
      <c r="N106" s="260"/>
      <c r="O106" s="260"/>
      <c r="P106" s="259"/>
      <c r="Q106" s="259"/>
      <c r="R106" s="260"/>
      <c r="S106" s="260"/>
      <c r="T106" s="24"/>
      <c r="U106" s="340">
        <f t="shared" si="5"/>
        <v>0</v>
      </c>
      <c r="V106" s="341"/>
      <c r="W106"/>
      <c r="X106"/>
    </row>
    <row r="107" spans="1:24" ht="22.5" customHeight="1" x14ac:dyDescent="0.25">
      <c r="A107" s="22">
        <v>87</v>
      </c>
      <c r="B107" s="239"/>
      <c r="C107" s="239"/>
      <c r="D107" s="238"/>
      <c r="E107" s="238"/>
      <c r="F107" s="239"/>
      <c r="G107" s="239"/>
      <c r="H107" s="251"/>
      <c r="I107" s="251"/>
      <c r="J107" s="309">
        <f t="shared" si="4"/>
        <v>0</v>
      </c>
      <c r="K107" s="309"/>
      <c r="L107" s="343"/>
      <c r="M107" s="22">
        <v>87</v>
      </c>
      <c r="N107" s="239"/>
      <c r="O107" s="239"/>
      <c r="P107" s="238"/>
      <c r="Q107" s="238"/>
      <c r="R107" s="239"/>
      <c r="S107" s="239"/>
      <c r="T107" s="23"/>
      <c r="U107" s="256">
        <f t="shared" si="5"/>
        <v>0</v>
      </c>
      <c r="V107" s="257"/>
      <c r="W107"/>
      <c r="X107"/>
    </row>
    <row r="108" spans="1:24" ht="22.5" customHeight="1" x14ac:dyDescent="0.25">
      <c r="A108" s="14">
        <v>88</v>
      </c>
      <c r="B108" s="252"/>
      <c r="C108" s="252"/>
      <c r="D108" s="251"/>
      <c r="E108" s="251"/>
      <c r="F108" s="252"/>
      <c r="G108" s="252"/>
      <c r="H108" s="251"/>
      <c r="I108" s="251"/>
      <c r="J108" s="323">
        <f t="shared" si="4"/>
        <v>0</v>
      </c>
      <c r="K108" s="324"/>
      <c r="L108" s="343"/>
      <c r="M108" s="15">
        <v>88</v>
      </c>
      <c r="N108" s="260"/>
      <c r="O108" s="260"/>
      <c r="P108" s="259"/>
      <c r="Q108" s="259"/>
      <c r="R108" s="260"/>
      <c r="S108" s="260"/>
      <c r="T108" s="24"/>
      <c r="U108" s="340">
        <f t="shared" si="5"/>
        <v>0</v>
      </c>
      <c r="V108" s="341"/>
      <c r="W108"/>
      <c r="X108"/>
    </row>
    <row r="109" spans="1:24" ht="22.5" customHeight="1" x14ac:dyDescent="0.25">
      <c r="A109" s="22">
        <v>89</v>
      </c>
      <c r="B109" s="239"/>
      <c r="C109" s="239"/>
      <c r="D109" s="238"/>
      <c r="E109" s="238"/>
      <c r="F109" s="239"/>
      <c r="G109" s="239"/>
      <c r="H109" s="251"/>
      <c r="I109" s="251"/>
      <c r="J109" s="309">
        <f t="shared" si="4"/>
        <v>0</v>
      </c>
      <c r="K109" s="309"/>
      <c r="L109" s="343"/>
      <c r="M109" s="22">
        <v>89</v>
      </c>
      <c r="N109" s="239"/>
      <c r="O109" s="239"/>
      <c r="P109" s="238"/>
      <c r="Q109" s="238"/>
      <c r="R109" s="239"/>
      <c r="S109" s="239"/>
      <c r="T109" s="23"/>
      <c r="U109" s="256">
        <f t="shared" si="5"/>
        <v>0</v>
      </c>
      <c r="V109" s="257"/>
      <c r="W109"/>
      <c r="X109"/>
    </row>
    <row r="110" spans="1:24" ht="22.5" customHeight="1" x14ac:dyDescent="0.25">
      <c r="A110" s="14">
        <v>90</v>
      </c>
      <c r="B110" s="252"/>
      <c r="C110" s="252"/>
      <c r="D110" s="251"/>
      <c r="E110" s="251"/>
      <c r="F110" s="252"/>
      <c r="G110" s="252"/>
      <c r="H110" s="251"/>
      <c r="I110" s="251"/>
      <c r="J110" s="323">
        <f t="shared" si="4"/>
        <v>0</v>
      </c>
      <c r="K110" s="324"/>
      <c r="L110" s="343"/>
      <c r="M110" s="15">
        <v>90</v>
      </c>
      <c r="N110" s="260"/>
      <c r="O110" s="260"/>
      <c r="P110" s="259"/>
      <c r="Q110" s="259"/>
      <c r="R110" s="260"/>
      <c r="S110" s="260"/>
      <c r="T110" s="24"/>
      <c r="U110" s="340">
        <f t="shared" si="5"/>
        <v>0</v>
      </c>
      <c r="V110" s="341"/>
      <c r="W110"/>
      <c r="X110"/>
    </row>
    <row r="111" spans="1:24" ht="22.5" customHeight="1" x14ac:dyDescent="0.25">
      <c r="A111" s="22">
        <v>91</v>
      </c>
      <c r="B111" s="239"/>
      <c r="C111" s="239"/>
      <c r="D111" s="238"/>
      <c r="E111" s="238"/>
      <c r="F111" s="239"/>
      <c r="G111" s="239"/>
      <c r="H111" s="251"/>
      <c r="I111" s="251"/>
      <c r="J111" s="309">
        <f t="shared" si="4"/>
        <v>0</v>
      </c>
      <c r="K111" s="309"/>
      <c r="L111" s="343"/>
      <c r="M111" s="22">
        <v>91</v>
      </c>
      <c r="N111" s="239"/>
      <c r="O111" s="239"/>
      <c r="P111" s="238"/>
      <c r="Q111" s="238"/>
      <c r="R111" s="239"/>
      <c r="S111" s="239"/>
      <c r="T111" s="23"/>
      <c r="U111" s="256">
        <f t="shared" si="5"/>
        <v>0</v>
      </c>
      <c r="V111" s="257"/>
      <c r="W111"/>
      <c r="X111"/>
    </row>
    <row r="112" spans="1:24" ht="22.5" customHeight="1" x14ac:dyDescent="0.25">
      <c r="A112" s="14">
        <v>92</v>
      </c>
      <c r="B112" s="252"/>
      <c r="C112" s="252"/>
      <c r="D112" s="251"/>
      <c r="E112" s="251"/>
      <c r="F112" s="252"/>
      <c r="G112" s="252"/>
      <c r="H112" s="251"/>
      <c r="I112" s="251"/>
      <c r="J112" s="323">
        <f t="shared" si="4"/>
        <v>0</v>
      </c>
      <c r="K112" s="324"/>
      <c r="L112" s="343"/>
      <c r="M112" s="15">
        <v>92</v>
      </c>
      <c r="N112" s="260"/>
      <c r="O112" s="260"/>
      <c r="P112" s="259"/>
      <c r="Q112" s="259"/>
      <c r="R112" s="260"/>
      <c r="S112" s="260"/>
      <c r="T112" s="24"/>
      <c r="U112" s="340">
        <f t="shared" si="5"/>
        <v>0</v>
      </c>
      <c r="V112" s="341"/>
      <c r="W112"/>
      <c r="X112"/>
    </row>
    <row r="113" spans="1:24" ht="22.5" customHeight="1" x14ac:dyDescent="0.25">
      <c r="A113" s="22">
        <v>93</v>
      </c>
      <c r="B113" s="239"/>
      <c r="C113" s="239"/>
      <c r="D113" s="238"/>
      <c r="E113" s="238"/>
      <c r="F113" s="239"/>
      <c r="G113" s="239"/>
      <c r="H113" s="251"/>
      <c r="I113" s="251"/>
      <c r="J113" s="309">
        <f t="shared" si="4"/>
        <v>0</v>
      </c>
      <c r="K113" s="309"/>
      <c r="L113" s="343"/>
      <c r="M113" s="22">
        <v>93</v>
      </c>
      <c r="N113" s="239"/>
      <c r="O113" s="239"/>
      <c r="P113" s="238"/>
      <c r="Q113" s="238"/>
      <c r="R113" s="239"/>
      <c r="S113" s="239"/>
      <c r="T113" s="23"/>
      <c r="U113" s="256">
        <f t="shared" si="5"/>
        <v>0</v>
      </c>
      <c r="V113" s="257"/>
      <c r="W113"/>
      <c r="X113"/>
    </row>
    <row r="114" spans="1:24" ht="22.5" customHeight="1" x14ac:dyDescent="0.25">
      <c r="A114" s="14">
        <v>94</v>
      </c>
      <c r="B114" s="252"/>
      <c r="C114" s="252"/>
      <c r="D114" s="251"/>
      <c r="E114" s="251"/>
      <c r="F114" s="252"/>
      <c r="G114" s="252"/>
      <c r="H114" s="251"/>
      <c r="I114" s="251"/>
      <c r="J114" s="323">
        <f t="shared" si="4"/>
        <v>0</v>
      </c>
      <c r="K114" s="324"/>
      <c r="L114" s="343"/>
      <c r="M114" s="15">
        <v>94</v>
      </c>
      <c r="N114" s="260"/>
      <c r="O114" s="260"/>
      <c r="P114" s="259"/>
      <c r="Q114" s="259"/>
      <c r="R114" s="260"/>
      <c r="S114" s="260"/>
      <c r="T114" s="24"/>
      <c r="U114" s="340">
        <f t="shared" si="5"/>
        <v>0</v>
      </c>
      <c r="V114" s="341"/>
      <c r="W114"/>
      <c r="X114"/>
    </row>
    <row r="115" spans="1:24" ht="22.5" customHeight="1" x14ac:dyDescent="0.25">
      <c r="A115" s="22">
        <v>95</v>
      </c>
      <c r="B115" s="239"/>
      <c r="C115" s="239"/>
      <c r="D115" s="238"/>
      <c r="E115" s="238"/>
      <c r="F115" s="239"/>
      <c r="G115" s="239"/>
      <c r="H115" s="251"/>
      <c r="I115" s="251"/>
      <c r="J115" s="309">
        <f t="shared" si="4"/>
        <v>0</v>
      </c>
      <c r="K115" s="309"/>
      <c r="L115" s="343"/>
      <c r="M115" s="22">
        <v>95</v>
      </c>
      <c r="N115" s="239"/>
      <c r="O115" s="239"/>
      <c r="P115" s="238"/>
      <c r="Q115" s="238"/>
      <c r="R115" s="239"/>
      <c r="S115" s="239"/>
      <c r="T115" s="23"/>
      <c r="U115" s="256">
        <f t="shared" si="5"/>
        <v>0</v>
      </c>
      <c r="V115" s="257"/>
      <c r="W115"/>
      <c r="X115"/>
    </row>
    <row r="116" spans="1:24" ht="22.5" customHeight="1" x14ac:dyDescent="0.25">
      <c r="A116" s="14">
        <v>96</v>
      </c>
      <c r="B116" s="252"/>
      <c r="C116" s="252"/>
      <c r="D116" s="251"/>
      <c r="E116" s="251"/>
      <c r="F116" s="252"/>
      <c r="G116" s="252"/>
      <c r="H116" s="251"/>
      <c r="I116" s="251"/>
      <c r="J116" s="323">
        <f t="shared" si="4"/>
        <v>0</v>
      </c>
      <c r="K116" s="324"/>
      <c r="L116" s="343"/>
      <c r="M116" s="15">
        <v>96</v>
      </c>
      <c r="N116" s="260"/>
      <c r="O116" s="260"/>
      <c r="P116" s="259"/>
      <c r="Q116" s="259"/>
      <c r="R116" s="260"/>
      <c r="S116" s="260"/>
      <c r="T116" s="24"/>
      <c r="U116" s="340">
        <f t="shared" si="5"/>
        <v>0</v>
      </c>
      <c r="V116" s="341"/>
      <c r="W116"/>
      <c r="X116"/>
    </row>
    <row r="117" spans="1:24" ht="22.5" customHeight="1" x14ac:dyDescent="0.25">
      <c r="A117" s="22">
        <v>97</v>
      </c>
      <c r="B117" s="239"/>
      <c r="C117" s="239"/>
      <c r="D117" s="238"/>
      <c r="E117" s="238"/>
      <c r="F117" s="239"/>
      <c r="G117" s="239"/>
      <c r="H117" s="251"/>
      <c r="I117" s="251"/>
      <c r="J117" s="309">
        <f t="shared" si="4"/>
        <v>0</v>
      </c>
      <c r="K117" s="309"/>
      <c r="L117" s="343"/>
      <c r="M117" s="22">
        <v>97</v>
      </c>
      <c r="N117" s="239"/>
      <c r="O117" s="239"/>
      <c r="P117" s="238"/>
      <c r="Q117" s="238"/>
      <c r="R117" s="239"/>
      <c r="S117" s="239"/>
      <c r="T117" s="23"/>
      <c r="U117" s="256">
        <f t="shared" si="5"/>
        <v>0</v>
      </c>
      <c r="V117" s="257"/>
      <c r="W117"/>
      <c r="X117"/>
    </row>
    <row r="118" spans="1:24" ht="22.5" customHeight="1" x14ac:dyDescent="0.25">
      <c r="A118" s="14">
        <v>98</v>
      </c>
      <c r="B118" s="252"/>
      <c r="C118" s="252"/>
      <c r="D118" s="251"/>
      <c r="E118" s="251"/>
      <c r="F118" s="252"/>
      <c r="G118" s="252"/>
      <c r="H118" s="251"/>
      <c r="I118" s="251"/>
      <c r="J118" s="323">
        <f t="shared" si="4"/>
        <v>0</v>
      </c>
      <c r="K118" s="324"/>
      <c r="L118" s="343"/>
      <c r="M118" s="15">
        <v>98</v>
      </c>
      <c r="N118" s="260"/>
      <c r="O118" s="260"/>
      <c r="P118" s="259"/>
      <c r="Q118" s="259"/>
      <c r="R118" s="260"/>
      <c r="S118" s="260"/>
      <c r="T118" s="24"/>
      <c r="U118" s="340">
        <f t="shared" si="5"/>
        <v>0</v>
      </c>
      <c r="V118" s="341"/>
      <c r="W118"/>
      <c r="X118"/>
    </row>
    <row r="119" spans="1:24" ht="22.5" customHeight="1" x14ac:dyDescent="0.25">
      <c r="A119" s="22">
        <v>99</v>
      </c>
      <c r="B119" s="239"/>
      <c r="C119" s="239"/>
      <c r="D119" s="238"/>
      <c r="E119" s="238"/>
      <c r="F119" s="239"/>
      <c r="G119" s="239"/>
      <c r="H119" s="251"/>
      <c r="I119" s="251"/>
      <c r="J119" s="309">
        <f t="shared" si="4"/>
        <v>0</v>
      </c>
      <c r="K119" s="309"/>
      <c r="L119" s="343"/>
      <c r="M119" s="22">
        <v>99</v>
      </c>
      <c r="N119" s="239"/>
      <c r="O119" s="239"/>
      <c r="P119" s="238"/>
      <c r="Q119" s="238"/>
      <c r="R119" s="239"/>
      <c r="S119" s="239"/>
      <c r="T119" s="23"/>
      <c r="U119" s="256">
        <f t="shared" si="5"/>
        <v>0</v>
      </c>
      <c r="V119" s="257"/>
      <c r="W119"/>
      <c r="X119"/>
    </row>
    <row r="120" spans="1:24" ht="22.5" customHeight="1" x14ac:dyDescent="0.25">
      <c r="A120" s="14">
        <v>100</v>
      </c>
      <c r="B120" s="252"/>
      <c r="C120" s="252"/>
      <c r="D120" s="251"/>
      <c r="E120" s="251"/>
      <c r="F120" s="252"/>
      <c r="G120" s="252"/>
      <c r="H120" s="251"/>
      <c r="I120" s="251"/>
      <c r="J120" s="323">
        <f t="shared" si="4"/>
        <v>0</v>
      </c>
      <c r="K120" s="324"/>
      <c r="L120" s="343"/>
      <c r="M120" s="15">
        <v>100</v>
      </c>
      <c r="N120" s="260"/>
      <c r="O120" s="260"/>
      <c r="P120" s="259"/>
      <c r="Q120" s="259"/>
      <c r="R120" s="260"/>
      <c r="S120" s="260"/>
      <c r="T120" s="24"/>
      <c r="U120" s="340">
        <f t="shared" si="5"/>
        <v>0</v>
      </c>
      <c r="V120" s="341"/>
      <c r="W120"/>
      <c r="X120"/>
    </row>
    <row r="121" spans="1:24" ht="22.5" customHeight="1" x14ac:dyDescent="0.25">
      <c r="A121" s="22">
        <v>101</v>
      </c>
      <c r="B121" s="239"/>
      <c r="C121" s="239"/>
      <c r="D121" s="238"/>
      <c r="E121" s="238"/>
      <c r="F121" s="239"/>
      <c r="G121" s="239"/>
      <c r="H121" s="251"/>
      <c r="I121" s="251"/>
      <c r="J121" s="309">
        <f t="shared" si="4"/>
        <v>0</v>
      </c>
      <c r="K121" s="309"/>
      <c r="L121" s="343"/>
      <c r="M121" s="22">
        <v>101</v>
      </c>
      <c r="N121" s="239"/>
      <c r="O121" s="239"/>
      <c r="P121" s="238"/>
      <c r="Q121" s="238"/>
      <c r="R121" s="239"/>
      <c r="S121" s="239"/>
      <c r="T121" s="23"/>
      <c r="U121" s="256">
        <f t="shared" si="5"/>
        <v>0</v>
      </c>
      <c r="V121" s="257"/>
      <c r="W121"/>
      <c r="X121"/>
    </row>
    <row r="122" spans="1:24" ht="22.5" customHeight="1" x14ac:dyDescent="0.25">
      <c r="A122" s="14">
        <v>102</v>
      </c>
      <c r="B122" s="252"/>
      <c r="C122" s="252"/>
      <c r="D122" s="251"/>
      <c r="E122" s="251"/>
      <c r="F122" s="252"/>
      <c r="G122" s="252"/>
      <c r="H122" s="251"/>
      <c r="I122" s="251"/>
      <c r="J122" s="323">
        <f t="shared" si="4"/>
        <v>0</v>
      </c>
      <c r="K122" s="324"/>
      <c r="L122" s="343"/>
      <c r="M122" s="15">
        <v>102</v>
      </c>
      <c r="N122" s="260"/>
      <c r="O122" s="260"/>
      <c r="P122" s="259"/>
      <c r="Q122" s="259"/>
      <c r="R122" s="260"/>
      <c r="S122" s="260"/>
      <c r="T122" s="24"/>
      <c r="U122" s="340">
        <f t="shared" si="5"/>
        <v>0</v>
      </c>
      <c r="V122" s="341"/>
      <c r="W122"/>
      <c r="X122"/>
    </row>
    <row r="123" spans="1:24" ht="22.5" customHeight="1" x14ac:dyDescent="0.25">
      <c r="A123" s="22">
        <v>103</v>
      </c>
      <c r="B123" s="239"/>
      <c r="C123" s="239"/>
      <c r="D123" s="238"/>
      <c r="E123" s="238"/>
      <c r="F123" s="239"/>
      <c r="G123" s="239"/>
      <c r="H123" s="251"/>
      <c r="I123" s="251"/>
      <c r="J123" s="309">
        <f t="shared" si="4"/>
        <v>0</v>
      </c>
      <c r="K123" s="309"/>
      <c r="L123" s="343"/>
      <c r="M123" s="22">
        <v>103</v>
      </c>
      <c r="N123" s="239"/>
      <c r="O123" s="239"/>
      <c r="P123" s="238"/>
      <c r="Q123" s="238"/>
      <c r="R123" s="239"/>
      <c r="S123" s="239"/>
      <c r="T123" s="23"/>
      <c r="U123" s="256">
        <f t="shared" si="5"/>
        <v>0</v>
      </c>
      <c r="V123" s="257"/>
      <c r="W123"/>
      <c r="X123"/>
    </row>
    <row r="124" spans="1:24" ht="22.5" customHeight="1" x14ac:dyDescent="0.25">
      <c r="A124" s="14">
        <v>104</v>
      </c>
      <c r="B124" s="252"/>
      <c r="C124" s="252"/>
      <c r="D124" s="251"/>
      <c r="E124" s="251"/>
      <c r="F124" s="252"/>
      <c r="G124" s="252"/>
      <c r="H124" s="251"/>
      <c r="I124" s="251"/>
      <c r="J124" s="323">
        <f t="shared" si="4"/>
        <v>0</v>
      </c>
      <c r="K124" s="324"/>
      <c r="L124" s="343"/>
      <c r="M124" s="15">
        <v>104</v>
      </c>
      <c r="N124" s="260"/>
      <c r="O124" s="260"/>
      <c r="P124" s="259"/>
      <c r="Q124" s="259"/>
      <c r="R124" s="260"/>
      <c r="S124" s="260"/>
      <c r="T124" s="24"/>
      <c r="U124" s="340">
        <f t="shared" si="5"/>
        <v>0</v>
      </c>
      <c r="V124" s="341"/>
      <c r="W124"/>
      <c r="X124"/>
    </row>
    <row r="125" spans="1:24" ht="22.5" customHeight="1" x14ac:dyDescent="0.25">
      <c r="A125" s="22">
        <v>105</v>
      </c>
      <c r="B125" s="239"/>
      <c r="C125" s="239"/>
      <c r="D125" s="238"/>
      <c r="E125" s="238"/>
      <c r="F125" s="239"/>
      <c r="G125" s="239"/>
      <c r="H125" s="251"/>
      <c r="I125" s="251"/>
      <c r="J125" s="309">
        <f t="shared" si="4"/>
        <v>0</v>
      </c>
      <c r="K125" s="309"/>
      <c r="L125" s="343"/>
      <c r="M125" s="22">
        <v>105</v>
      </c>
      <c r="N125" s="239"/>
      <c r="O125" s="239"/>
      <c r="P125" s="238"/>
      <c r="Q125" s="238"/>
      <c r="R125" s="239"/>
      <c r="S125" s="239"/>
      <c r="T125" s="23"/>
      <c r="U125" s="256">
        <f t="shared" si="5"/>
        <v>0</v>
      </c>
      <c r="V125" s="257"/>
      <c r="W125"/>
      <c r="X125"/>
    </row>
    <row r="126" spans="1:24" ht="22.5" customHeight="1" x14ac:dyDescent="0.25">
      <c r="A126" s="14">
        <v>106</v>
      </c>
      <c r="B126" s="252"/>
      <c r="C126" s="252"/>
      <c r="D126" s="251"/>
      <c r="E126" s="251"/>
      <c r="F126" s="252"/>
      <c r="G126" s="252"/>
      <c r="H126" s="251"/>
      <c r="I126" s="251"/>
      <c r="J126" s="323">
        <f t="shared" si="4"/>
        <v>0</v>
      </c>
      <c r="K126" s="324"/>
      <c r="L126" s="343"/>
      <c r="M126" s="15">
        <v>106</v>
      </c>
      <c r="N126" s="260"/>
      <c r="O126" s="260"/>
      <c r="P126" s="259"/>
      <c r="Q126" s="259"/>
      <c r="R126" s="260"/>
      <c r="S126" s="260"/>
      <c r="T126" s="24"/>
      <c r="U126" s="340">
        <f t="shared" si="5"/>
        <v>0</v>
      </c>
      <c r="V126" s="341"/>
      <c r="W126"/>
      <c r="X126"/>
    </row>
    <row r="127" spans="1:24" ht="22.5" customHeight="1" x14ac:dyDescent="0.25">
      <c r="A127" s="22">
        <v>107</v>
      </c>
      <c r="B127" s="239"/>
      <c r="C127" s="239"/>
      <c r="D127" s="238"/>
      <c r="E127" s="238"/>
      <c r="F127" s="239"/>
      <c r="G127" s="239"/>
      <c r="H127" s="251"/>
      <c r="I127" s="251"/>
      <c r="J127" s="309">
        <f t="shared" si="4"/>
        <v>0</v>
      </c>
      <c r="K127" s="309"/>
      <c r="L127" s="343"/>
      <c r="M127" s="22">
        <v>107</v>
      </c>
      <c r="N127" s="239"/>
      <c r="O127" s="239"/>
      <c r="P127" s="238"/>
      <c r="Q127" s="238"/>
      <c r="R127" s="239"/>
      <c r="S127" s="239"/>
      <c r="T127" s="23"/>
      <c r="U127" s="256">
        <f t="shared" si="5"/>
        <v>0</v>
      </c>
      <c r="V127" s="257"/>
      <c r="W127"/>
      <c r="X127"/>
    </row>
    <row r="128" spans="1:24" ht="22.5" customHeight="1" x14ac:dyDescent="0.25">
      <c r="A128" s="14">
        <v>108</v>
      </c>
      <c r="B128" s="252"/>
      <c r="C128" s="252"/>
      <c r="D128" s="251"/>
      <c r="E128" s="251"/>
      <c r="F128" s="252"/>
      <c r="G128" s="252"/>
      <c r="H128" s="251"/>
      <c r="I128" s="251"/>
      <c r="J128" s="323">
        <f t="shared" si="4"/>
        <v>0</v>
      </c>
      <c r="K128" s="324"/>
      <c r="L128" s="343"/>
      <c r="M128" s="15">
        <v>108</v>
      </c>
      <c r="N128" s="260"/>
      <c r="O128" s="260"/>
      <c r="P128" s="259"/>
      <c r="Q128" s="259"/>
      <c r="R128" s="260"/>
      <c r="S128" s="260"/>
      <c r="T128" s="24"/>
      <c r="U128" s="340">
        <f t="shared" si="5"/>
        <v>0</v>
      </c>
      <c r="V128" s="341"/>
      <c r="W128"/>
      <c r="X128"/>
    </row>
    <row r="129" spans="1:24" ht="22.5" customHeight="1" x14ac:dyDescent="0.25">
      <c r="A129" s="22">
        <v>109</v>
      </c>
      <c r="B129" s="239"/>
      <c r="C129" s="239"/>
      <c r="D129" s="238"/>
      <c r="E129" s="238"/>
      <c r="F129" s="239"/>
      <c r="G129" s="239"/>
      <c r="H129" s="251"/>
      <c r="I129" s="251"/>
      <c r="J129" s="309">
        <f t="shared" si="4"/>
        <v>0</v>
      </c>
      <c r="K129" s="309"/>
      <c r="L129" s="343"/>
      <c r="M129" s="22">
        <v>109</v>
      </c>
      <c r="N129" s="239"/>
      <c r="O129" s="239"/>
      <c r="P129" s="238"/>
      <c r="Q129" s="238"/>
      <c r="R129" s="239"/>
      <c r="S129" s="239"/>
      <c r="T129" s="23"/>
      <c r="U129" s="256">
        <f t="shared" si="5"/>
        <v>0</v>
      </c>
      <c r="V129" s="257"/>
      <c r="W129"/>
      <c r="X129"/>
    </row>
    <row r="130" spans="1:24" ht="22.5" customHeight="1" x14ac:dyDescent="0.25">
      <c r="A130" s="14">
        <v>110</v>
      </c>
      <c r="B130" s="252"/>
      <c r="C130" s="252"/>
      <c r="D130" s="251"/>
      <c r="E130" s="251"/>
      <c r="F130" s="252"/>
      <c r="G130" s="252"/>
      <c r="H130" s="251"/>
      <c r="I130" s="251"/>
      <c r="J130" s="323">
        <f t="shared" si="4"/>
        <v>0</v>
      </c>
      <c r="K130" s="324"/>
      <c r="L130" s="343"/>
      <c r="M130" s="15">
        <v>110</v>
      </c>
      <c r="N130" s="260"/>
      <c r="O130" s="260"/>
      <c r="P130" s="259"/>
      <c r="Q130" s="259"/>
      <c r="R130" s="260"/>
      <c r="S130" s="260"/>
      <c r="T130" s="24"/>
      <c r="U130" s="340">
        <f t="shared" si="5"/>
        <v>0</v>
      </c>
      <c r="V130" s="341"/>
      <c r="W130"/>
      <c r="X130"/>
    </row>
    <row r="131" spans="1:24" ht="22.5" customHeight="1" x14ac:dyDescent="0.25">
      <c r="A131" s="22">
        <v>111</v>
      </c>
      <c r="B131" s="239"/>
      <c r="C131" s="239"/>
      <c r="D131" s="238"/>
      <c r="E131" s="238"/>
      <c r="F131" s="239"/>
      <c r="G131" s="239"/>
      <c r="H131" s="251"/>
      <c r="I131" s="251"/>
      <c r="J131" s="309">
        <f t="shared" si="4"/>
        <v>0</v>
      </c>
      <c r="K131" s="309"/>
      <c r="L131" s="343"/>
      <c r="M131" s="22">
        <v>111</v>
      </c>
      <c r="N131" s="239"/>
      <c r="O131" s="239"/>
      <c r="P131" s="238"/>
      <c r="Q131" s="238"/>
      <c r="R131" s="239"/>
      <c r="S131" s="239"/>
      <c r="T131" s="23"/>
      <c r="U131" s="256">
        <f t="shared" si="5"/>
        <v>0</v>
      </c>
      <c r="V131" s="257"/>
      <c r="W131"/>
      <c r="X131"/>
    </row>
    <row r="132" spans="1:24" ht="22.5" customHeight="1" x14ac:dyDescent="0.25">
      <c r="A132" s="14">
        <v>112</v>
      </c>
      <c r="B132" s="252"/>
      <c r="C132" s="252"/>
      <c r="D132" s="251"/>
      <c r="E132" s="251"/>
      <c r="F132" s="252"/>
      <c r="G132" s="252"/>
      <c r="H132" s="251"/>
      <c r="I132" s="251"/>
      <c r="J132" s="323">
        <f t="shared" si="4"/>
        <v>0</v>
      </c>
      <c r="K132" s="324"/>
      <c r="L132" s="343"/>
      <c r="M132" s="15">
        <v>112</v>
      </c>
      <c r="N132" s="260"/>
      <c r="O132" s="260"/>
      <c r="P132" s="259"/>
      <c r="Q132" s="259"/>
      <c r="R132" s="260"/>
      <c r="S132" s="260"/>
      <c r="T132" s="24"/>
      <c r="U132" s="340">
        <f t="shared" si="5"/>
        <v>0</v>
      </c>
      <c r="V132" s="341"/>
      <c r="W132"/>
      <c r="X132"/>
    </row>
    <row r="133" spans="1:24" ht="22.5" customHeight="1" x14ac:dyDescent="0.25">
      <c r="A133" s="22">
        <v>113</v>
      </c>
      <c r="B133" s="239"/>
      <c r="C133" s="239"/>
      <c r="D133" s="238"/>
      <c r="E133" s="238"/>
      <c r="F133" s="239"/>
      <c r="G133" s="239"/>
      <c r="H133" s="251"/>
      <c r="I133" s="251"/>
      <c r="J133" s="309">
        <f t="shared" si="4"/>
        <v>0</v>
      </c>
      <c r="K133" s="309"/>
      <c r="L133" s="343"/>
      <c r="M133" s="22">
        <v>113</v>
      </c>
      <c r="N133" s="239"/>
      <c r="O133" s="239"/>
      <c r="P133" s="238"/>
      <c r="Q133" s="238"/>
      <c r="R133" s="239"/>
      <c r="S133" s="239"/>
      <c r="T133" s="23"/>
      <c r="U133" s="256">
        <f t="shared" si="5"/>
        <v>0</v>
      </c>
      <c r="V133" s="257"/>
      <c r="W133"/>
      <c r="X133"/>
    </row>
    <row r="134" spans="1:24" ht="22.5" customHeight="1" x14ac:dyDescent="0.25">
      <c r="A134" s="14">
        <v>114</v>
      </c>
      <c r="B134" s="252"/>
      <c r="C134" s="252"/>
      <c r="D134" s="251"/>
      <c r="E134" s="251"/>
      <c r="F134" s="252"/>
      <c r="G134" s="252"/>
      <c r="H134" s="251"/>
      <c r="I134" s="251"/>
      <c r="J134" s="323">
        <f t="shared" si="4"/>
        <v>0</v>
      </c>
      <c r="K134" s="324"/>
      <c r="L134" s="343"/>
      <c r="M134" s="15">
        <v>114</v>
      </c>
      <c r="N134" s="260"/>
      <c r="O134" s="260"/>
      <c r="P134" s="259"/>
      <c r="Q134" s="259"/>
      <c r="R134" s="260"/>
      <c r="S134" s="260"/>
      <c r="T134" s="24"/>
      <c r="U134" s="340">
        <f t="shared" si="5"/>
        <v>0</v>
      </c>
      <c r="V134" s="341"/>
      <c r="W134"/>
      <c r="X134"/>
    </row>
    <row r="135" spans="1:24" ht="22.5" customHeight="1" x14ac:dyDescent="0.25">
      <c r="A135" s="22">
        <v>115</v>
      </c>
      <c r="B135" s="239"/>
      <c r="C135" s="239"/>
      <c r="D135" s="238"/>
      <c r="E135" s="238"/>
      <c r="F135" s="239"/>
      <c r="G135" s="239"/>
      <c r="H135" s="251"/>
      <c r="I135" s="251"/>
      <c r="J135" s="309">
        <f t="shared" si="4"/>
        <v>0</v>
      </c>
      <c r="K135" s="309"/>
      <c r="L135" s="343"/>
      <c r="M135" s="22">
        <v>115</v>
      </c>
      <c r="N135" s="239"/>
      <c r="O135" s="239"/>
      <c r="P135" s="238"/>
      <c r="Q135" s="238"/>
      <c r="R135" s="239"/>
      <c r="S135" s="239"/>
      <c r="T135" s="23"/>
      <c r="U135" s="256">
        <f t="shared" si="5"/>
        <v>0</v>
      </c>
      <c r="V135" s="257"/>
      <c r="W135"/>
      <c r="X135"/>
    </row>
    <row r="136" spans="1:24" ht="22.5" customHeight="1" x14ac:dyDescent="0.25">
      <c r="A136" s="14">
        <v>116</v>
      </c>
      <c r="B136" s="252"/>
      <c r="C136" s="252"/>
      <c r="D136" s="251"/>
      <c r="E136" s="251"/>
      <c r="F136" s="252"/>
      <c r="G136" s="252"/>
      <c r="H136" s="251"/>
      <c r="I136" s="251"/>
      <c r="J136" s="323">
        <f t="shared" si="4"/>
        <v>0</v>
      </c>
      <c r="K136" s="324"/>
      <c r="L136" s="343"/>
      <c r="M136" s="15">
        <v>116</v>
      </c>
      <c r="N136" s="260"/>
      <c r="O136" s="260"/>
      <c r="P136" s="259"/>
      <c r="Q136" s="259"/>
      <c r="R136" s="260"/>
      <c r="S136" s="260"/>
      <c r="T136" s="24"/>
      <c r="U136" s="340">
        <f t="shared" si="5"/>
        <v>0</v>
      </c>
      <c r="V136" s="341"/>
      <c r="W136"/>
      <c r="X136"/>
    </row>
    <row r="137" spans="1:24" ht="22.5" customHeight="1" x14ac:dyDescent="0.25">
      <c r="A137" s="22">
        <v>117</v>
      </c>
      <c r="B137" s="239"/>
      <c r="C137" s="239"/>
      <c r="D137" s="238"/>
      <c r="E137" s="238"/>
      <c r="F137" s="239"/>
      <c r="G137" s="239"/>
      <c r="H137" s="251"/>
      <c r="I137" s="251"/>
      <c r="J137" s="309">
        <f t="shared" si="4"/>
        <v>0</v>
      </c>
      <c r="K137" s="309"/>
      <c r="L137" s="343"/>
      <c r="M137" s="22">
        <v>117</v>
      </c>
      <c r="N137" s="239"/>
      <c r="O137" s="239"/>
      <c r="P137" s="238"/>
      <c r="Q137" s="238"/>
      <c r="R137" s="239"/>
      <c r="S137" s="239"/>
      <c r="T137" s="23"/>
      <c r="U137" s="256">
        <f t="shared" si="5"/>
        <v>0</v>
      </c>
      <c r="V137" s="257"/>
      <c r="W137"/>
      <c r="X137"/>
    </row>
    <row r="138" spans="1:24" ht="22.5" customHeight="1" x14ac:dyDescent="0.25">
      <c r="A138" s="14">
        <v>118</v>
      </c>
      <c r="B138" s="252"/>
      <c r="C138" s="252"/>
      <c r="D138" s="251"/>
      <c r="E138" s="251"/>
      <c r="F138" s="252"/>
      <c r="G138" s="252"/>
      <c r="H138" s="251"/>
      <c r="I138" s="251"/>
      <c r="J138" s="323">
        <f t="shared" si="4"/>
        <v>0</v>
      </c>
      <c r="K138" s="324"/>
      <c r="L138" s="343"/>
      <c r="M138" s="15">
        <v>118</v>
      </c>
      <c r="N138" s="260"/>
      <c r="O138" s="260"/>
      <c r="P138" s="259"/>
      <c r="Q138" s="259"/>
      <c r="R138" s="260"/>
      <c r="S138" s="260"/>
      <c r="T138" s="24"/>
      <c r="U138" s="340">
        <f t="shared" si="5"/>
        <v>0</v>
      </c>
      <c r="V138" s="341"/>
      <c r="W138"/>
      <c r="X138"/>
    </row>
    <row r="139" spans="1:24" ht="22.5" customHeight="1" x14ac:dyDescent="0.25">
      <c r="A139" s="22">
        <v>119</v>
      </c>
      <c r="B139" s="239"/>
      <c r="C139" s="239"/>
      <c r="D139" s="238"/>
      <c r="E139" s="238"/>
      <c r="F139" s="239"/>
      <c r="G139" s="239"/>
      <c r="H139" s="251"/>
      <c r="I139" s="251"/>
      <c r="J139" s="309">
        <f t="shared" si="4"/>
        <v>0</v>
      </c>
      <c r="K139" s="309"/>
      <c r="L139" s="343"/>
      <c r="M139" s="22">
        <v>119</v>
      </c>
      <c r="N139" s="239"/>
      <c r="O139" s="239"/>
      <c r="P139" s="238"/>
      <c r="Q139" s="238"/>
      <c r="R139" s="239"/>
      <c r="S139" s="239"/>
      <c r="T139" s="23"/>
      <c r="U139" s="256">
        <f t="shared" si="5"/>
        <v>0</v>
      </c>
      <c r="V139" s="257"/>
      <c r="W139"/>
      <c r="X139"/>
    </row>
    <row r="140" spans="1:24" ht="22.5" customHeight="1" x14ac:dyDescent="0.25">
      <c r="A140" s="14">
        <v>120</v>
      </c>
      <c r="B140" s="252"/>
      <c r="C140" s="252"/>
      <c r="D140" s="251"/>
      <c r="E140" s="251"/>
      <c r="F140" s="252"/>
      <c r="G140" s="252"/>
      <c r="H140" s="251"/>
      <c r="I140" s="251"/>
      <c r="J140" s="323">
        <f t="shared" si="4"/>
        <v>0</v>
      </c>
      <c r="K140" s="324"/>
      <c r="L140" s="343"/>
      <c r="M140" s="15">
        <v>120</v>
      </c>
      <c r="N140" s="260"/>
      <c r="O140" s="260"/>
      <c r="P140" s="259"/>
      <c r="Q140" s="259"/>
      <c r="R140" s="260"/>
      <c r="S140" s="260"/>
      <c r="T140" s="24"/>
      <c r="U140" s="340">
        <f t="shared" si="5"/>
        <v>0</v>
      </c>
      <c r="V140" s="341"/>
      <c r="W140"/>
      <c r="X140"/>
    </row>
    <row r="141" spans="1:24" ht="22.5" customHeight="1" x14ac:dyDescent="0.25">
      <c r="A141" s="22">
        <v>121</v>
      </c>
      <c r="B141" s="239"/>
      <c r="C141" s="239"/>
      <c r="D141" s="238"/>
      <c r="E141" s="238"/>
      <c r="F141" s="239"/>
      <c r="G141" s="239"/>
      <c r="H141" s="251"/>
      <c r="I141" s="251"/>
      <c r="J141" s="309">
        <f t="shared" si="4"/>
        <v>0</v>
      </c>
      <c r="K141" s="309"/>
      <c r="L141" s="343"/>
      <c r="M141" s="22">
        <v>121</v>
      </c>
      <c r="N141" s="239"/>
      <c r="O141" s="239"/>
      <c r="P141" s="238"/>
      <c r="Q141" s="238"/>
      <c r="R141" s="239"/>
      <c r="S141" s="239"/>
      <c r="T141" s="23"/>
      <c r="U141" s="256">
        <f t="shared" si="5"/>
        <v>0</v>
      </c>
      <c r="V141" s="257"/>
      <c r="W141"/>
      <c r="X141"/>
    </row>
    <row r="142" spans="1:24" ht="22.5" customHeight="1" x14ac:dyDescent="0.25">
      <c r="A142" s="14">
        <v>122</v>
      </c>
      <c r="B142" s="252"/>
      <c r="C142" s="252"/>
      <c r="D142" s="251"/>
      <c r="E142" s="251"/>
      <c r="F142" s="252"/>
      <c r="G142" s="252"/>
      <c r="H142" s="251"/>
      <c r="I142" s="251"/>
      <c r="J142" s="323">
        <f t="shared" si="4"/>
        <v>0</v>
      </c>
      <c r="K142" s="324"/>
      <c r="L142" s="343"/>
      <c r="M142" s="15">
        <v>122</v>
      </c>
      <c r="N142" s="260"/>
      <c r="O142" s="260"/>
      <c r="P142" s="259"/>
      <c r="Q142" s="259"/>
      <c r="R142" s="260"/>
      <c r="S142" s="260"/>
      <c r="T142" s="24"/>
      <c r="U142" s="340">
        <f t="shared" si="5"/>
        <v>0</v>
      </c>
      <c r="V142" s="341"/>
      <c r="W142"/>
      <c r="X142"/>
    </row>
    <row r="143" spans="1:24" ht="22.5" customHeight="1" x14ac:dyDescent="0.25">
      <c r="A143" s="22">
        <v>123</v>
      </c>
      <c r="B143" s="239"/>
      <c r="C143" s="239"/>
      <c r="D143" s="238"/>
      <c r="E143" s="238"/>
      <c r="F143" s="239"/>
      <c r="G143" s="239"/>
      <c r="H143" s="251"/>
      <c r="I143" s="251"/>
      <c r="J143" s="309">
        <f t="shared" si="4"/>
        <v>0</v>
      </c>
      <c r="K143" s="309"/>
      <c r="L143" s="343"/>
      <c r="M143" s="22">
        <v>123</v>
      </c>
      <c r="N143" s="239"/>
      <c r="O143" s="239"/>
      <c r="P143" s="238"/>
      <c r="Q143" s="238"/>
      <c r="R143" s="239"/>
      <c r="S143" s="239"/>
      <c r="T143" s="23"/>
      <c r="U143" s="256">
        <f t="shared" si="5"/>
        <v>0</v>
      </c>
      <c r="V143" s="257"/>
      <c r="W143"/>
      <c r="X143"/>
    </row>
    <row r="144" spans="1:24" ht="22.5" customHeight="1" x14ac:dyDescent="0.25">
      <c r="A144" s="14">
        <v>124</v>
      </c>
      <c r="B144" s="252"/>
      <c r="C144" s="252"/>
      <c r="D144" s="251"/>
      <c r="E144" s="251"/>
      <c r="F144" s="252"/>
      <c r="G144" s="252"/>
      <c r="H144" s="251"/>
      <c r="I144" s="251"/>
      <c r="J144" s="323">
        <f t="shared" si="4"/>
        <v>0</v>
      </c>
      <c r="K144" s="324"/>
      <c r="L144" s="343"/>
      <c r="M144" s="15">
        <v>124</v>
      </c>
      <c r="N144" s="260"/>
      <c r="O144" s="260"/>
      <c r="P144" s="259"/>
      <c r="Q144" s="259"/>
      <c r="R144" s="260"/>
      <c r="S144" s="260"/>
      <c r="T144" s="24"/>
      <c r="U144" s="340">
        <f t="shared" si="5"/>
        <v>0</v>
      </c>
      <c r="V144" s="341"/>
      <c r="W144"/>
      <c r="X144"/>
    </row>
    <row r="145" spans="1:24" ht="22.5" customHeight="1" x14ac:dyDescent="0.25">
      <c r="A145" s="22">
        <v>125</v>
      </c>
      <c r="B145" s="239"/>
      <c r="C145" s="239"/>
      <c r="D145" s="238"/>
      <c r="E145" s="238"/>
      <c r="F145" s="239"/>
      <c r="G145" s="239"/>
      <c r="H145" s="251"/>
      <c r="I145" s="251"/>
      <c r="J145" s="309">
        <f t="shared" si="4"/>
        <v>0</v>
      </c>
      <c r="K145" s="309"/>
      <c r="L145" s="343"/>
      <c r="M145" s="22">
        <v>125</v>
      </c>
      <c r="N145" s="239"/>
      <c r="O145" s="239"/>
      <c r="P145" s="238"/>
      <c r="Q145" s="238"/>
      <c r="R145" s="239"/>
      <c r="S145" s="239"/>
      <c r="T145" s="23"/>
      <c r="U145" s="256">
        <f t="shared" si="5"/>
        <v>0</v>
      </c>
      <c r="V145" s="257"/>
      <c r="W145"/>
      <c r="X145"/>
    </row>
    <row r="146" spans="1:24" ht="22.5" customHeight="1" x14ac:dyDescent="0.25">
      <c r="A146" s="14">
        <v>126</v>
      </c>
      <c r="B146" s="252"/>
      <c r="C146" s="252"/>
      <c r="D146" s="251"/>
      <c r="E146" s="251"/>
      <c r="F146" s="252"/>
      <c r="G146" s="252"/>
      <c r="H146" s="251"/>
      <c r="I146" s="251"/>
      <c r="J146" s="323">
        <f t="shared" si="4"/>
        <v>0</v>
      </c>
      <c r="K146" s="324"/>
      <c r="L146" s="343"/>
      <c r="M146" s="15">
        <v>126</v>
      </c>
      <c r="N146" s="260"/>
      <c r="O146" s="260"/>
      <c r="P146" s="259"/>
      <c r="Q146" s="259"/>
      <c r="R146" s="260"/>
      <c r="S146" s="260"/>
      <c r="T146" s="24"/>
      <c r="U146" s="340">
        <f t="shared" si="5"/>
        <v>0</v>
      </c>
      <c r="V146" s="341"/>
      <c r="W146"/>
      <c r="X146"/>
    </row>
    <row r="147" spans="1:24" ht="22.5" customHeight="1" x14ac:dyDescent="0.25">
      <c r="A147" s="22">
        <v>127</v>
      </c>
      <c r="B147" s="239"/>
      <c r="C147" s="239"/>
      <c r="D147" s="238"/>
      <c r="E147" s="238"/>
      <c r="F147" s="239"/>
      <c r="G147" s="239"/>
      <c r="H147" s="251"/>
      <c r="I147" s="251"/>
      <c r="J147" s="309">
        <f t="shared" si="4"/>
        <v>0</v>
      </c>
      <c r="K147" s="309"/>
      <c r="L147" s="343"/>
      <c r="M147" s="22">
        <v>127</v>
      </c>
      <c r="N147" s="239"/>
      <c r="O147" s="239"/>
      <c r="P147" s="238"/>
      <c r="Q147" s="238"/>
      <c r="R147" s="239"/>
      <c r="S147" s="239"/>
      <c r="T147" s="23"/>
      <c r="U147" s="256">
        <f t="shared" si="5"/>
        <v>0</v>
      </c>
      <c r="V147" s="257"/>
      <c r="W147"/>
      <c r="X147"/>
    </row>
    <row r="148" spans="1:24" ht="22.5" customHeight="1" x14ac:dyDescent="0.25">
      <c r="A148" s="14">
        <v>128</v>
      </c>
      <c r="B148" s="252"/>
      <c r="C148" s="252"/>
      <c r="D148" s="251"/>
      <c r="E148" s="251"/>
      <c r="F148" s="252"/>
      <c r="G148" s="252"/>
      <c r="H148" s="251"/>
      <c r="I148" s="251"/>
      <c r="J148" s="323">
        <f t="shared" si="4"/>
        <v>0</v>
      </c>
      <c r="K148" s="324"/>
      <c r="L148" s="343"/>
      <c r="M148" s="15">
        <v>128</v>
      </c>
      <c r="N148" s="260"/>
      <c r="O148" s="260"/>
      <c r="P148" s="259"/>
      <c r="Q148" s="259"/>
      <c r="R148" s="260"/>
      <c r="S148" s="260"/>
      <c r="T148" s="24"/>
      <c r="U148" s="340">
        <f t="shared" si="5"/>
        <v>0</v>
      </c>
      <c r="V148" s="341"/>
      <c r="W148"/>
      <c r="X148"/>
    </row>
    <row r="149" spans="1:24" ht="22.5" customHeight="1" x14ac:dyDescent="0.25">
      <c r="A149" s="22">
        <v>129</v>
      </c>
      <c r="B149" s="239"/>
      <c r="C149" s="239"/>
      <c r="D149" s="238"/>
      <c r="E149" s="238"/>
      <c r="F149" s="239"/>
      <c r="G149" s="239"/>
      <c r="H149" s="251"/>
      <c r="I149" s="251"/>
      <c r="J149" s="309">
        <f t="shared" si="4"/>
        <v>0</v>
      </c>
      <c r="K149" s="309"/>
      <c r="L149" s="343"/>
      <c r="M149" s="22">
        <v>129</v>
      </c>
      <c r="N149" s="239"/>
      <c r="O149" s="239"/>
      <c r="P149" s="238"/>
      <c r="Q149" s="238"/>
      <c r="R149" s="239"/>
      <c r="S149" s="239"/>
      <c r="T149" s="23"/>
      <c r="U149" s="256">
        <f t="shared" si="5"/>
        <v>0</v>
      </c>
      <c r="V149" s="257"/>
      <c r="W149"/>
      <c r="X149"/>
    </row>
    <row r="150" spans="1:24" ht="22.5" customHeight="1" x14ac:dyDescent="0.25">
      <c r="A150" s="14">
        <v>130</v>
      </c>
      <c r="B150" s="252"/>
      <c r="C150" s="252"/>
      <c r="D150" s="251"/>
      <c r="E150" s="251"/>
      <c r="F150" s="252"/>
      <c r="G150" s="252"/>
      <c r="H150" s="251"/>
      <c r="I150" s="251"/>
      <c r="J150" s="323">
        <f t="shared" ref="J150:J213" si="6">D150*F150+H150</f>
        <v>0</v>
      </c>
      <c r="K150" s="324"/>
      <c r="L150" s="343"/>
      <c r="M150" s="15">
        <v>130</v>
      </c>
      <c r="N150" s="260"/>
      <c r="O150" s="260"/>
      <c r="P150" s="259"/>
      <c r="Q150" s="259"/>
      <c r="R150" s="260"/>
      <c r="S150" s="260"/>
      <c r="T150" s="24"/>
      <c r="U150" s="340">
        <f t="shared" si="5"/>
        <v>0</v>
      </c>
      <c r="V150" s="341"/>
      <c r="W150"/>
      <c r="X150"/>
    </row>
    <row r="151" spans="1:24" ht="22.5" customHeight="1" x14ac:dyDescent="0.25">
      <c r="A151" s="22">
        <v>131</v>
      </c>
      <c r="B151" s="239"/>
      <c r="C151" s="239"/>
      <c r="D151" s="238"/>
      <c r="E151" s="238"/>
      <c r="F151" s="239"/>
      <c r="G151" s="239"/>
      <c r="H151" s="251"/>
      <c r="I151" s="251"/>
      <c r="J151" s="309">
        <f t="shared" si="6"/>
        <v>0</v>
      </c>
      <c r="K151" s="309"/>
      <c r="L151" s="343"/>
      <c r="M151" s="22">
        <v>131</v>
      </c>
      <c r="N151" s="239"/>
      <c r="O151" s="239"/>
      <c r="P151" s="238"/>
      <c r="Q151" s="238"/>
      <c r="R151" s="239"/>
      <c r="S151" s="239"/>
      <c r="T151" s="23"/>
      <c r="U151" s="256">
        <f t="shared" ref="U151:U170" si="7">P151+R151</f>
        <v>0</v>
      </c>
      <c r="V151" s="257"/>
      <c r="W151"/>
      <c r="X151"/>
    </row>
    <row r="152" spans="1:24" ht="22.5" customHeight="1" x14ac:dyDescent="0.25">
      <c r="A152" s="14">
        <v>132</v>
      </c>
      <c r="B152" s="252"/>
      <c r="C152" s="252"/>
      <c r="D152" s="251"/>
      <c r="E152" s="251"/>
      <c r="F152" s="252"/>
      <c r="G152" s="252"/>
      <c r="H152" s="251"/>
      <c r="I152" s="251"/>
      <c r="J152" s="323">
        <f t="shared" si="6"/>
        <v>0</v>
      </c>
      <c r="K152" s="324"/>
      <c r="L152" s="343"/>
      <c r="M152" s="15">
        <v>132</v>
      </c>
      <c r="N152" s="260"/>
      <c r="O152" s="260"/>
      <c r="P152" s="259"/>
      <c r="Q152" s="259"/>
      <c r="R152" s="260"/>
      <c r="S152" s="260"/>
      <c r="T152" s="24"/>
      <c r="U152" s="340">
        <f t="shared" si="7"/>
        <v>0</v>
      </c>
      <c r="V152" s="341"/>
      <c r="W152"/>
      <c r="X152"/>
    </row>
    <row r="153" spans="1:24" ht="22.5" customHeight="1" x14ac:dyDescent="0.25">
      <c r="A153" s="22">
        <v>133</v>
      </c>
      <c r="B153" s="239"/>
      <c r="C153" s="239"/>
      <c r="D153" s="238"/>
      <c r="E153" s="238"/>
      <c r="F153" s="239"/>
      <c r="G153" s="239"/>
      <c r="H153" s="251"/>
      <c r="I153" s="251"/>
      <c r="J153" s="309">
        <f t="shared" si="6"/>
        <v>0</v>
      </c>
      <c r="K153" s="309"/>
      <c r="L153" s="343"/>
      <c r="M153" s="22">
        <v>133</v>
      </c>
      <c r="N153" s="239"/>
      <c r="O153" s="239"/>
      <c r="P153" s="238"/>
      <c r="Q153" s="238"/>
      <c r="R153" s="239"/>
      <c r="S153" s="239"/>
      <c r="T153" s="23"/>
      <c r="U153" s="256">
        <f t="shared" si="7"/>
        <v>0</v>
      </c>
      <c r="V153" s="257"/>
      <c r="W153"/>
      <c r="X153"/>
    </row>
    <row r="154" spans="1:24" ht="22.5" customHeight="1" x14ac:dyDescent="0.25">
      <c r="A154" s="14">
        <v>134</v>
      </c>
      <c r="B154" s="252"/>
      <c r="C154" s="252"/>
      <c r="D154" s="251"/>
      <c r="E154" s="251"/>
      <c r="F154" s="252"/>
      <c r="G154" s="252"/>
      <c r="H154" s="251"/>
      <c r="I154" s="251"/>
      <c r="J154" s="323">
        <f t="shared" si="6"/>
        <v>0</v>
      </c>
      <c r="K154" s="324"/>
      <c r="L154" s="343"/>
      <c r="M154" s="15">
        <v>134</v>
      </c>
      <c r="N154" s="260"/>
      <c r="O154" s="260"/>
      <c r="P154" s="259"/>
      <c r="Q154" s="259"/>
      <c r="R154" s="260"/>
      <c r="S154" s="260"/>
      <c r="T154" s="24"/>
      <c r="U154" s="340">
        <f t="shared" si="7"/>
        <v>0</v>
      </c>
      <c r="V154" s="341"/>
      <c r="W154"/>
      <c r="X154"/>
    </row>
    <row r="155" spans="1:24" ht="22.5" customHeight="1" x14ac:dyDescent="0.25">
      <c r="A155" s="22">
        <v>135</v>
      </c>
      <c r="B155" s="239"/>
      <c r="C155" s="239"/>
      <c r="D155" s="238"/>
      <c r="E155" s="238"/>
      <c r="F155" s="239"/>
      <c r="G155" s="239"/>
      <c r="H155" s="251"/>
      <c r="I155" s="251"/>
      <c r="J155" s="309">
        <f t="shared" si="6"/>
        <v>0</v>
      </c>
      <c r="K155" s="309"/>
      <c r="L155" s="343"/>
      <c r="M155" s="22">
        <v>135</v>
      </c>
      <c r="N155" s="239"/>
      <c r="O155" s="239"/>
      <c r="P155" s="238"/>
      <c r="Q155" s="238"/>
      <c r="R155" s="239"/>
      <c r="S155" s="239"/>
      <c r="T155" s="23"/>
      <c r="U155" s="256">
        <f t="shared" si="7"/>
        <v>0</v>
      </c>
      <c r="V155" s="257"/>
      <c r="W155"/>
      <c r="X155"/>
    </row>
    <row r="156" spans="1:24" ht="22.5" customHeight="1" x14ac:dyDescent="0.25">
      <c r="A156" s="14">
        <v>136</v>
      </c>
      <c r="B156" s="252"/>
      <c r="C156" s="252"/>
      <c r="D156" s="251"/>
      <c r="E156" s="251"/>
      <c r="F156" s="252"/>
      <c r="G156" s="252"/>
      <c r="H156" s="251"/>
      <c r="I156" s="251"/>
      <c r="J156" s="323">
        <f t="shared" si="6"/>
        <v>0</v>
      </c>
      <c r="K156" s="324"/>
      <c r="L156" s="343"/>
      <c r="M156" s="15">
        <v>136</v>
      </c>
      <c r="N156" s="260"/>
      <c r="O156" s="260"/>
      <c r="P156" s="259"/>
      <c r="Q156" s="259"/>
      <c r="R156" s="260"/>
      <c r="S156" s="260"/>
      <c r="T156" s="24"/>
      <c r="U156" s="340">
        <f t="shared" si="7"/>
        <v>0</v>
      </c>
      <c r="V156" s="341"/>
      <c r="W156"/>
      <c r="X156"/>
    </row>
    <row r="157" spans="1:24" ht="22.5" customHeight="1" x14ac:dyDescent="0.25">
      <c r="A157" s="22">
        <v>137</v>
      </c>
      <c r="B157" s="239"/>
      <c r="C157" s="239"/>
      <c r="D157" s="238"/>
      <c r="E157" s="238"/>
      <c r="F157" s="239"/>
      <c r="G157" s="239"/>
      <c r="H157" s="251"/>
      <c r="I157" s="251"/>
      <c r="J157" s="309">
        <f t="shared" si="6"/>
        <v>0</v>
      </c>
      <c r="K157" s="309"/>
      <c r="L157" s="343"/>
      <c r="M157" s="22">
        <v>137</v>
      </c>
      <c r="N157" s="239"/>
      <c r="O157" s="239"/>
      <c r="P157" s="238"/>
      <c r="Q157" s="238"/>
      <c r="R157" s="239"/>
      <c r="S157" s="239"/>
      <c r="T157" s="23"/>
      <c r="U157" s="256">
        <f t="shared" si="7"/>
        <v>0</v>
      </c>
      <c r="V157" s="257"/>
      <c r="W157"/>
      <c r="X157"/>
    </row>
    <row r="158" spans="1:24" ht="22.5" customHeight="1" x14ac:dyDescent="0.25">
      <c r="A158" s="14">
        <v>138</v>
      </c>
      <c r="B158" s="252"/>
      <c r="C158" s="252"/>
      <c r="D158" s="251"/>
      <c r="E158" s="251"/>
      <c r="F158" s="252"/>
      <c r="G158" s="252"/>
      <c r="H158" s="251"/>
      <c r="I158" s="251"/>
      <c r="J158" s="323">
        <f t="shared" si="6"/>
        <v>0</v>
      </c>
      <c r="K158" s="324"/>
      <c r="L158" s="343"/>
      <c r="M158" s="15">
        <v>138</v>
      </c>
      <c r="N158" s="260"/>
      <c r="O158" s="260"/>
      <c r="P158" s="259"/>
      <c r="Q158" s="259"/>
      <c r="R158" s="260"/>
      <c r="S158" s="260"/>
      <c r="T158" s="24"/>
      <c r="U158" s="340">
        <f t="shared" si="7"/>
        <v>0</v>
      </c>
      <c r="V158" s="341"/>
      <c r="W158"/>
      <c r="X158"/>
    </row>
    <row r="159" spans="1:24" ht="22.5" customHeight="1" x14ac:dyDescent="0.25">
      <c r="A159" s="22">
        <v>139</v>
      </c>
      <c r="B159" s="239"/>
      <c r="C159" s="239"/>
      <c r="D159" s="238"/>
      <c r="E159" s="238"/>
      <c r="F159" s="239"/>
      <c r="G159" s="239"/>
      <c r="H159" s="251"/>
      <c r="I159" s="251"/>
      <c r="J159" s="309">
        <f t="shared" si="6"/>
        <v>0</v>
      </c>
      <c r="K159" s="309"/>
      <c r="L159" s="343"/>
      <c r="M159" s="22">
        <v>139</v>
      </c>
      <c r="N159" s="239"/>
      <c r="O159" s="239"/>
      <c r="P159" s="238"/>
      <c r="Q159" s="238"/>
      <c r="R159" s="239"/>
      <c r="S159" s="239"/>
      <c r="T159" s="23"/>
      <c r="U159" s="256">
        <f t="shared" si="7"/>
        <v>0</v>
      </c>
      <c r="V159" s="257"/>
      <c r="W159"/>
      <c r="X159"/>
    </row>
    <row r="160" spans="1:24" ht="22.5" customHeight="1" x14ac:dyDescent="0.25">
      <c r="A160" s="14">
        <v>140</v>
      </c>
      <c r="B160" s="252"/>
      <c r="C160" s="252"/>
      <c r="D160" s="251"/>
      <c r="E160" s="251"/>
      <c r="F160" s="252"/>
      <c r="G160" s="252"/>
      <c r="H160" s="251"/>
      <c r="I160" s="251"/>
      <c r="J160" s="323">
        <f t="shared" si="6"/>
        <v>0</v>
      </c>
      <c r="K160" s="324"/>
      <c r="L160" s="343"/>
      <c r="M160" s="15">
        <v>140</v>
      </c>
      <c r="N160" s="260"/>
      <c r="O160" s="260"/>
      <c r="P160" s="259"/>
      <c r="Q160" s="259"/>
      <c r="R160" s="260"/>
      <c r="S160" s="260"/>
      <c r="T160" s="24"/>
      <c r="U160" s="340">
        <f t="shared" si="7"/>
        <v>0</v>
      </c>
      <c r="V160" s="341"/>
      <c r="W160"/>
      <c r="X160"/>
    </row>
    <row r="161" spans="1:24" ht="22.5" customHeight="1" x14ac:dyDescent="0.25">
      <c r="A161" s="22">
        <v>141</v>
      </c>
      <c r="B161" s="239"/>
      <c r="C161" s="239"/>
      <c r="D161" s="238"/>
      <c r="E161" s="238"/>
      <c r="F161" s="239"/>
      <c r="G161" s="239"/>
      <c r="H161" s="251"/>
      <c r="I161" s="251"/>
      <c r="J161" s="309">
        <f t="shared" si="6"/>
        <v>0</v>
      </c>
      <c r="K161" s="309"/>
      <c r="L161" s="343"/>
      <c r="M161" s="22">
        <v>141</v>
      </c>
      <c r="N161" s="239"/>
      <c r="O161" s="239"/>
      <c r="P161" s="238"/>
      <c r="Q161" s="238"/>
      <c r="R161" s="239"/>
      <c r="S161" s="239"/>
      <c r="T161" s="23"/>
      <c r="U161" s="256">
        <f t="shared" si="7"/>
        <v>0</v>
      </c>
      <c r="V161" s="257"/>
      <c r="W161"/>
      <c r="X161"/>
    </row>
    <row r="162" spans="1:24" ht="22.5" customHeight="1" x14ac:dyDescent="0.25">
      <c r="A162" s="14">
        <v>142</v>
      </c>
      <c r="B162" s="252"/>
      <c r="C162" s="252"/>
      <c r="D162" s="251"/>
      <c r="E162" s="251"/>
      <c r="F162" s="252"/>
      <c r="G162" s="252"/>
      <c r="H162" s="251"/>
      <c r="I162" s="251"/>
      <c r="J162" s="323">
        <f t="shared" si="6"/>
        <v>0</v>
      </c>
      <c r="K162" s="324"/>
      <c r="L162" s="343"/>
      <c r="M162" s="15">
        <v>142</v>
      </c>
      <c r="N162" s="260"/>
      <c r="O162" s="260"/>
      <c r="P162" s="259"/>
      <c r="Q162" s="259"/>
      <c r="R162" s="260"/>
      <c r="S162" s="260"/>
      <c r="T162" s="24"/>
      <c r="U162" s="340">
        <f t="shared" si="7"/>
        <v>0</v>
      </c>
      <c r="V162" s="341"/>
      <c r="W162"/>
      <c r="X162"/>
    </row>
    <row r="163" spans="1:24" ht="22.5" customHeight="1" x14ac:dyDescent="0.25">
      <c r="A163" s="22">
        <v>143</v>
      </c>
      <c r="B163" s="239"/>
      <c r="C163" s="239"/>
      <c r="D163" s="238"/>
      <c r="E163" s="238"/>
      <c r="F163" s="239"/>
      <c r="G163" s="239"/>
      <c r="H163" s="251"/>
      <c r="I163" s="251"/>
      <c r="J163" s="309">
        <f t="shared" si="6"/>
        <v>0</v>
      </c>
      <c r="K163" s="309"/>
      <c r="L163" s="343"/>
      <c r="M163" s="22">
        <v>143</v>
      </c>
      <c r="N163" s="239"/>
      <c r="O163" s="239"/>
      <c r="P163" s="238"/>
      <c r="Q163" s="238"/>
      <c r="R163" s="239"/>
      <c r="S163" s="239"/>
      <c r="T163" s="23"/>
      <c r="U163" s="256">
        <f t="shared" si="7"/>
        <v>0</v>
      </c>
      <c r="V163" s="257"/>
      <c r="W163"/>
      <c r="X163"/>
    </row>
    <row r="164" spans="1:24" ht="22.5" customHeight="1" x14ac:dyDescent="0.25">
      <c r="A164" s="14">
        <v>144</v>
      </c>
      <c r="B164" s="252"/>
      <c r="C164" s="252"/>
      <c r="D164" s="251"/>
      <c r="E164" s="251"/>
      <c r="F164" s="252"/>
      <c r="G164" s="252"/>
      <c r="H164" s="251"/>
      <c r="I164" s="251"/>
      <c r="J164" s="323">
        <f t="shared" si="6"/>
        <v>0</v>
      </c>
      <c r="K164" s="324"/>
      <c r="L164" s="343"/>
      <c r="M164" s="15">
        <v>144</v>
      </c>
      <c r="N164" s="260"/>
      <c r="O164" s="260"/>
      <c r="P164" s="259"/>
      <c r="Q164" s="259"/>
      <c r="R164" s="260"/>
      <c r="S164" s="260"/>
      <c r="T164" s="24"/>
      <c r="U164" s="340">
        <f t="shared" si="7"/>
        <v>0</v>
      </c>
      <c r="V164" s="341"/>
      <c r="W164"/>
      <c r="X164"/>
    </row>
    <row r="165" spans="1:24" ht="22.5" customHeight="1" x14ac:dyDescent="0.25">
      <c r="A165" s="22">
        <v>145</v>
      </c>
      <c r="B165" s="239"/>
      <c r="C165" s="239"/>
      <c r="D165" s="238"/>
      <c r="E165" s="238"/>
      <c r="F165" s="239"/>
      <c r="G165" s="239"/>
      <c r="H165" s="251"/>
      <c r="I165" s="251"/>
      <c r="J165" s="309">
        <f t="shared" si="6"/>
        <v>0</v>
      </c>
      <c r="K165" s="309"/>
      <c r="L165" s="343"/>
      <c r="M165" s="22">
        <v>145</v>
      </c>
      <c r="N165" s="239"/>
      <c r="O165" s="239"/>
      <c r="P165" s="238"/>
      <c r="Q165" s="238"/>
      <c r="R165" s="239"/>
      <c r="S165" s="239"/>
      <c r="T165" s="23"/>
      <c r="U165" s="256">
        <f t="shared" si="7"/>
        <v>0</v>
      </c>
      <c r="V165" s="257"/>
      <c r="W165"/>
      <c r="X165"/>
    </row>
    <row r="166" spans="1:24" ht="22.5" customHeight="1" x14ac:dyDescent="0.25">
      <c r="A166" s="14">
        <v>146</v>
      </c>
      <c r="B166" s="252"/>
      <c r="C166" s="252"/>
      <c r="D166" s="251"/>
      <c r="E166" s="251"/>
      <c r="F166" s="252"/>
      <c r="G166" s="252"/>
      <c r="H166" s="251"/>
      <c r="I166" s="251"/>
      <c r="J166" s="323">
        <f t="shared" si="6"/>
        <v>0</v>
      </c>
      <c r="K166" s="324"/>
      <c r="L166" s="343"/>
      <c r="M166" s="15">
        <v>146</v>
      </c>
      <c r="N166" s="260"/>
      <c r="O166" s="260"/>
      <c r="P166" s="259"/>
      <c r="Q166" s="259"/>
      <c r="R166" s="260"/>
      <c r="S166" s="260"/>
      <c r="T166" s="24"/>
      <c r="U166" s="340">
        <f t="shared" si="7"/>
        <v>0</v>
      </c>
      <c r="V166" s="341"/>
      <c r="W166"/>
      <c r="X166"/>
    </row>
    <row r="167" spans="1:24" ht="22.5" customHeight="1" x14ac:dyDescent="0.25">
      <c r="A167" s="22">
        <v>147</v>
      </c>
      <c r="B167" s="239"/>
      <c r="C167" s="239"/>
      <c r="D167" s="238"/>
      <c r="E167" s="238"/>
      <c r="F167" s="239"/>
      <c r="G167" s="239"/>
      <c r="H167" s="251"/>
      <c r="I167" s="251"/>
      <c r="J167" s="309">
        <f t="shared" si="6"/>
        <v>0</v>
      </c>
      <c r="K167" s="309"/>
      <c r="L167" s="343"/>
      <c r="M167" s="22">
        <v>147</v>
      </c>
      <c r="N167" s="239"/>
      <c r="O167" s="239"/>
      <c r="P167" s="238"/>
      <c r="Q167" s="238"/>
      <c r="R167" s="239"/>
      <c r="S167" s="239"/>
      <c r="T167" s="23"/>
      <c r="U167" s="256">
        <f t="shared" si="7"/>
        <v>0</v>
      </c>
      <c r="V167" s="257"/>
      <c r="W167"/>
      <c r="X167"/>
    </row>
    <row r="168" spans="1:24" ht="22.5" customHeight="1" x14ac:dyDescent="0.25">
      <c r="A168" s="14">
        <v>148</v>
      </c>
      <c r="B168" s="252"/>
      <c r="C168" s="252"/>
      <c r="D168" s="251"/>
      <c r="E168" s="251"/>
      <c r="F168" s="252"/>
      <c r="G168" s="252"/>
      <c r="H168" s="251"/>
      <c r="I168" s="251"/>
      <c r="J168" s="323">
        <f t="shared" si="6"/>
        <v>0</v>
      </c>
      <c r="K168" s="324"/>
      <c r="L168" s="343"/>
      <c r="M168" s="15">
        <v>148</v>
      </c>
      <c r="N168" s="260"/>
      <c r="O168" s="260"/>
      <c r="P168" s="259"/>
      <c r="Q168" s="259"/>
      <c r="R168" s="260"/>
      <c r="S168" s="260"/>
      <c r="T168" s="24"/>
      <c r="U168" s="340">
        <f t="shared" si="7"/>
        <v>0</v>
      </c>
      <c r="V168" s="341"/>
      <c r="W168"/>
      <c r="X168"/>
    </row>
    <row r="169" spans="1:24" ht="22.5" customHeight="1" x14ac:dyDescent="0.25">
      <c r="A169" s="22">
        <v>149</v>
      </c>
      <c r="B169" s="239"/>
      <c r="C169" s="239"/>
      <c r="D169" s="238"/>
      <c r="E169" s="238"/>
      <c r="F169" s="239"/>
      <c r="G169" s="239"/>
      <c r="H169" s="251"/>
      <c r="I169" s="251"/>
      <c r="J169" s="309">
        <f t="shared" si="6"/>
        <v>0</v>
      </c>
      <c r="K169" s="309"/>
      <c r="L169" s="343"/>
      <c r="M169" s="22">
        <v>149</v>
      </c>
      <c r="N169" s="239"/>
      <c r="O169" s="239"/>
      <c r="P169" s="238"/>
      <c r="Q169" s="238"/>
      <c r="R169" s="239"/>
      <c r="S169" s="239"/>
      <c r="T169" s="23"/>
      <c r="U169" s="256">
        <f t="shared" si="7"/>
        <v>0</v>
      </c>
      <c r="V169" s="257"/>
      <c r="W169"/>
      <c r="X169"/>
    </row>
    <row r="170" spans="1:24" ht="22.5" customHeight="1" x14ac:dyDescent="0.25">
      <c r="A170" s="14">
        <v>150</v>
      </c>
      <c r="B170" s="252"/>
      <c r="C170" s="252"/>
      <c r="D170" s="251"/>
      <c r="E170" s="251"/>
      <c r="F170" s="252"/>
      <c r="G170" s="252"/>
      <c r="H170" s="251"/>
      <c r="I170" s="251"/>
      <c r="J170" s="323">
        <f t="shared" si="6"/>
        <v>0</v>
      </c>
      <c r="K170" s="324"/>
      <c r="L170" s="343"/>
      <c r="M170" s="15">
        <v>150</v>
      </c>
      <c r="N170" s="260"/>
      <c r="O170" s="260"/>
      <c r="P170" s="259"/>
      <c r="Q170" s="259"/>
      <c r="R170" s="260"/>
      <c r="S170" s="260"/>
      <c r="T170" s="24"/>
      <c r="U170" s="340">
        <f t="shared" si="7"/>
        <v>0</v>
      </c>
      <c r="V170" s="341"/>
      <c r="W170"/>
      <c r="X170"/>
    </row>
    <row r="171" spans="1:24" ht="22.5" customHeight="1" x14ac:dyDescent="0.25">
      <c r="A171" s="22">
        <v>151</v>
      </c>
      <c r="B171" s="239"/>
      <c r="C171" s="239"/>
      <c r="D171" s="238"/>
      <c r="E171" s="238"/>
      <c r="F171" s="239"/>
      <c r="G171" s="239"/>
      <c r="H171" s="251"/>
      <c r="I171" s="251"/>
      <c r="J171" s="309">
        <f t="shared" si="6"/>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6"/>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51"/>
      <c r="I173" s="251"/>
      <c r="J173" s="309">
        <f t="shared" si="6"/>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6"/>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51"/>
      <c r="I175" s="251"/>
      <c r="J175" s="309">
        <f t="shared" si="6"/>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6"/>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51"/>
      <c r="I177" s="251"/>
      <c r="J177" s="309">
        <f t="shared" si="6"/>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6"/>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51"/>
      <c r="I179" s="251"/>
      <c r="J179" s="309">
        <f t="shared" si="6"/>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6"/>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51"/>
      <c r="I181" s="251"/>
      <c r="J181" s="309">
        <f t="shared" si="6"/>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6"/>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51"/>
      <c r="I183" s="251"/>
      <c r="J183" s="309">
        <f t="shared" si="6"/>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6"/>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51"/>
      <c r="I185" s="251"/>
      <c r="J185" s="309">
        <f t="shared" si="6"/>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6"/>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51"/>
      <c r="I187" s="251"/>
      <c r="J187" s="309">
        <f t="shared" si="6"/>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6"/>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51"/>
      <c r="I189" s="251"/>
      <c r="J189" s="309">
        <f t="shared" si="6"/>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6"/>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51"/>
      <c r="I191" s="251"/>
      <c r="J191" s="309">
        <f t="shared" si="6"/>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6"/>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51"/>
      <c r="I193" s="251"/>
      <c r="J193" s="309">
        <f t="shared" si="6"/>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6"/>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51"/>
      <c r="I195" s="251"/>
      <c r="J195" s="309">
        <f t="shared" si="6"/>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6"/>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51"/>
      <c r="I197" s="251"/>
      <c r="J197" s="309">
        <f t="shared" si="6"/>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6"/>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51"/>
      <c r="I199" s="251"/>
      <c r="J199" s="309">
        <f t="shared" si="6"/>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6"/>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51"/>
      <c r="I201" s="251"/>
      <c r="J201" s="309">
        <f t="shared" si="6"/>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6"/>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51"/>
      <c r="I203" s="251"/>
      <c r="J203" s="309">
        <f t="shared" si="6"/>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6"/>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51"/>
      <c r="I205" s="251"/>
      <c r="J205" s="309">
        <f t="shared" si="6"/>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6"/>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51"/>
      <c r="I207" s="251"/>
      <c r="J207" s="309">
        <f t="shared" si="6"/>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6"/>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51"/>
      <c r="I209" s="251"/>
      <c r="J209" s="309">
        <f t="shared" si="6"/>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6"/>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51"/>
      <c r="I211" s="251"/>
      <c r="J211" s="309">
        <f t="shared" si="6"/>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6"/>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51"/>
      <c r="I213" s="251"/>
      <c r="J213" s="309">
        <f t="shared" si="6"/>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8">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51"/>
      <c r="I215" s="251"/>
      <c r="J215" s="309">
        <f t="shared" si="8"/>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8"/>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51"/>
      <c r="I217" s="251"/>
      <c r="J217" s="309">
        <f t="shared" si="8"/>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8"/>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51"/>
      <c r="I219" s="251"/>
      <c r="J219" s="309">
        <f t="shared" si="8"/>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8"/>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3BAoxLDGpXxo/mRhIkYIeJ/7d3U44dF9+ZHpyJWjnQrWTldgMJaJE7yBj6cI+neH2Qyi4rG/EzzAz+ZSK/Gt1w==" saltValue="efTlwmoQoEiVY/1OS9d4Kw=="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{B43B123A-9056-4869-9F1B-8B57DF6C59F7}</x14:id>
        </ext>
      </extLst>
    </cfRule>
  </conditionalFormatting>
  <conditionalFormatting sqref="U10:X11">
    <cfRule type="cellIs" dxfId="55" priority="3" operator="greaterThan">
      <formula>0</formula>
    </cfRule>
    <cfRule type="cellIs" dxfId="54" priority="4" operator="lessThan">
      <formula>0</formula>
    </cfRule>
  </conditionalFormatting>
  <conditionalFormatting sqref="F10:H11">
    <cfRule type="cellIs" dxfId="53" priority="1" operator="greaterThan">
      <formula>0</formula>
    </cfRule>
    <cfRule type="cellIs" dxfId="52"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B43B123A-9056-4869-9F1B-8B57DF6C59F7}">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6"/>
  <dimension ref="A1:AA263"/>
  <sheetViews>
    <sheetView showGridLines="0" zoomScale="70" zoomScaleNormal="70" workbookViewId="0">
      <selection activeCell="B31" sqref="B31:C31"/>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766</v>
      </c>
      <c r="B1" s="262"/>
      <c r="C1" s="313" t="str">
        <f>'Hisse İsimleri'!B4</f>
        <v>EREĞLİ</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790</v>
      </c>
      <c r="G4" s="271"/>
      <c r="H4" s="272"/>
      <c r="I4" s="267" t="s">
        <v>13</v>
      </c>
      <c r="J4" s="268"/>
      <c r="K4" s="268"/>
      <c r="L4" s="268"/>
      <c r="M4" s="268"/>
      <c r="N4" s="275" t="e">
        <f>AVERAGE(T21:T170)</f>
        <v>#DIV/0!</v>
      </c>
      <c r="O4" s="275"/>
      <c r="P4" s="276"/>
      <c r="Q4" s="267" t="s">
        <v>673</v>
      </c>
      <c r="R4" s="268"/>
      <c r="S4" s="268"/>
      <c r="T4" s="268"/>
      <c r="U4" s="279">
        <f>F8*F4</f>
        <v>29498.600000000002</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10000</v>
      </c>
      <c r="G6" s="208"/>
      <c r="H6" s="209"/>
      <c r="I6" s="269" t="s">
        <v>674</v>
      </c>
      <c r="J6" s="270"/>
      <c r="K6" s="270"/>
      <c r="L6" s="270"/>
      <c r="M6" s="270"/>
      <c r="N6" s="282">
        <f>U6/F4</f>
        <v>33.84843516455696</v>
      </c>
      <c r="O6" s="282"/>
      <c r="P6" s="284"/>
      <c r="Q6" s="269" t="s">
        <v>675</v>
      </c>
      <c r="R6" s="270"/>
      <c r="S6" s="270"/>
      <c r="T6" s="270"/>
      <c r="U6" s="282">
        <f>SUM(J21:K220)-SUM(U21:U170)</f>
        <v>26740.263780000001</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İsimleri'!D4</f>
        <v>37.340000000000003</v>
      </c>
      <c r="G8" s="282"/>
      <c r="H8" s="284"/>
      <c r="I8" s="269" t="s">
        <v>677</v>
      </c>
      <c r="J8" s="270"/>
      <c r="K8" s="270"/>
      <c r="L8" s="270"/>
      <c r="M8" s="270"/>
      <c r="N8" s="282">
        <f>SUM(U21:U170)</f>
        <v>0</v>
      </c>
      <c r="O8" s="282"/>
      <c r="P8" s="284"/>
      <c r="Q8" s="295" t="s">
        <v>678</v>
      </c>
      <c r="R8" s="296"/>
      <c r="S8" s="296"/>
      <c r="T8" s="297"/>
      <c r="U8" s="301">
        <f>SUM(H21:I220)</f>
        <v>53.373780000000004</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İsimleri'!E4</f>
        <v>-1.7399999999999999E-2</v>
      </c>
      <c r="G10" s="287"/>
      <c r="H10" s="288"/>
      <c r="I10" s="269" t="s">
        <v>710</v>
      </c>
      <c r="J10" s="270"/>
      <c r="K10" s="270"/>
      <c r="L10" s="270"/>
      <c r="M10" s="270"/>
      <c r="N10" s="291">
        <f>U10/U6</f>
        <v>0.10315291736437766</v>
      </c>
      <c r="O10" s="291"/>
      <c r="P10" s="292"/>
      <c r="Q10" s="295" t="s">
        <v>587</v>
      </c>
      <c r="R10" s="296"/>
      <c r="S10" s="296"/>
      <c r="T10" s="297"/>
      <c r="U10" s="301">
        <f>U4-U6</f>
        <v>2758.336220000001</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7.9</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33.14</v>
      </c>
      <c r="E21" s="238"/>
      <c r="F21" s="239">
        <v>60</v>
      </c>
      <c r="G21" s="239"/>
      <c r="H21" s="307">
        <f>(D21*F21)*(2/1000)</f>
        <v>3.9768000000000003</v>
      </c>
      <c r="I21" s="308"/>
      <c r="J21" s="309">
        <f>D21*F21+H21</f>
        <v>1992.3768</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0">
        <v>44682</v>
      </c>
      <c r="C22" s="252"/>
      <c r="D22" s="251">
        <v>32.555999999999997</v>
      </c>
      <c r="E22" s="251"/>
      <c r="F22" s="252">
        <v>65</v>
      </c>
      <c r="G22" s="252"/>
      <c r="H22" s="251">
        <f t="shared" ref="H22:H30" si="0">(D22*F22)*(2/1000)</f>
        <v>4.2322800000000003</v>
      </c>
      <c r="I22" s="251"/>
      <c r="J22" s="323">
        <f t="shared" ref="J22:J85" si="1">D22*F22+H22</f>
        <v>2120.37228</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30.22</v>
      </c>
      <c r="E23" s="238"/>
      <c r="F23" s="239">
        <v>135</v>
      </c>
      <c r="G23" s="239"/>
      <c r="H23" s="307">
        <f>(D23*F23)*(2/1000)</f>
        <v>8.1593999999999998</v>
      </c>
      <c r="I23" s="308"/>
      <c r="J23" s="309">
        <f t="shared" si="1"/>
        <v>4087.8593999999998</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28.4</v>
      </c>
      <c r="E24" s="251"/>
      <c r="F24" s="252">
        <v>50</v>
      </c>
      <c r="G24" s="252"/>
      <c r="H24" s="251">
        <f t="shared" si="0"/>
        <v>2.84</v>
      </c>
      <c r="I24" s="251"/>
      <c r="J24" s="323">
        <f t="shared" si="1"/>
        <v>1422.84</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28.49</v>
      </c>
      <c r="E25" s="238"/>
      <c r="F25" s="239">
        <v>30</v>
      </c>
      <c r="G25" s="239"/>
      <c r="H25" s="307">
        <f>(D25*F25)*(2/1000)</f>
        <v>1.7093999999999998</v>
      </c>
      <c r="I25" s="308"/>
      <c r="J25" s="309">
        <f t="shared" si="1"/>
        <v>856.40939999999989</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30</v>
      </c>
      <c r="E26" s="251"/>
      <c r="F26" s="252">
        <v>45</v>
      </c>
      <c r="G26" s="252"/>
      <c r="H26" s="251">
        <f t="shared" si="0"/>
        <v>2.7</v>
      </c>
      <c r="I26" s="251"/>
      <c r="J26" s="323">
        <f t="shared" si="1"/>
        <v>1352.7</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30.1</v>
      </c>
      <c r="E27" s="238"/>
      <c r="F27" s="239">
        <v>60</v>
      </c>
      <c r="G27" s="239"/>
      <c r="H27" s="307">
        <f>(D27*F27)*(2/1000)</f>
        <v>3.6120000000000001</v>
      </c>
      <c r="I27" s="308"/>
      <c r="J27" s="309">
        <f t="shared" si="1"/>
        <v>1809.6120000000001</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32.76</v>
      </c>
      <c r="E28" s="251"/>
      <c r="F28" s="252">
        <v>50</v>
      </c>
      <c r="G28" s="252"/>
      <c r="H28" s="251">
        <f t="shared" si="0"/>
        <v>3.2760000000000002</v>
      </c>
      <c r="I28" s="251"/>
      <c r="J28" s="323">
        <f t="shared" si="1"/>
        <v>1641.2760000000001</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41.01</v>
      </c>
      <c r="E29" s="238"/>
      <c r="F29" s="239">
        <v>25</v>
      </c>
      <c r="G29" s="239"/>
      <c r="H29" s="307">
        <f>(D29*F29)*(2/1000)</f>
        <v>2.0505</v>
      </c>
      <c r="I29" s="308"/>
      <c r="J29" s="309">
        <f t="shared" si="1"/>
        <v>1027.3005000000001</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38.409999999999997</v>
      </c>
      <c r="E30" s="251"/>
      <c r="F30" s="252">
        <v>170</v>
      </c>
      <c r="G30" s="252"/>
      <c r="H30" s="251">
        <f t="shared" si="0"/>
        <v>13.0594</v>
      </c>
      <c r="I30" s="251"/>
      <c r="J30" s="323">
        <f t="shared" si="1"/>
        <v>6542.7593999999999</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38.79</v>
      </c>
      <c r="E31" s="238"/>
      <c r="F31" s="239">
        <v>100</v>
      </c>
      <c r="G31" s="239"/>
      <c r="H31" s="238">
        <f t="shared" ref="H31" si="3">(D31*F31)*(2/1000)</f>
        <v>7.758</v>
      </c>
      <c r="I31" s="238"/>
      <c r="J31" s="309">
        <f t="shared" si="1"/>
        <v>3886.7579999999998</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2"/>
      <c r="C32" s="252"/>
      <c r="D32" s="251"/>
      <c r="E32" s="251"/>
      <c r="F32" s="252"/>
      <c r="G32" s="252"/>
      <c r="H32" s="251"/>
      <c r="I32" s="251"/>
      <c r="J32" s="323">
        <f t="shared" si="1"/>
        <v>0</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4">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38"/>
      <c r="I87" s="238"/>
      <c r="J87" s="309">
        <f t="shared" si="4"/>
        <v>0</v>
      </c>
      <c r="K87" s="309"/>
      <c r="L87" s="343"/>
      <c r="M87" s="22">
        <v>67</v>
      </c>
      <c r="N87" s="239"/>
      <c r="O87" s="239"/>
      <c r="P87" s="238"/>
      <c r="Q87" s="238"/>
      <c r="R87" s="239"/>
      <c r="S87" s="239"/>
      <c r="T87" s="23"/>
      <c r="U87" s="256">
        <f t="shared" ref="U87:U150" si="5">P87+R87</f>
        <v>0</v>
      </c>
      <c r="V87" s="257"/>
      <c r="W87"/>
      <c r="X87"/>
    </row>
    <row r="88" spans="1:24" ht="22.5" customHeight="1" x14ac:dyDescent="0.25">
      <c r="A88" s="14">
        <v>68</v>
      </c>
      <c r="B88" s="252"/>
      <c r="C88" s="252"/>
      <c r="D88" s="251"/>
      <c r="E88" s="251"/>
      <c r="F88" s="252"/>
      <c r="G88" s="252"/>
      <c r="H88" s="251"/>
      <c r="I88" s="251"/>
      <c r="J88" s="323">
        <f t="shared" si="4"/>
        <v>0</v>
      </c>
      <c r="K88" s="324"/>
      <c r="L88" s="343"/>
      <c r="M88" s="15">
        <v>68</v>
      </c>
      <c r="N88" s="260"/>
      <c r="O88" s="260"/>
      <c r="P88" s="259"/>
      <c r="Q88" s="259"/>
      <c r="R88" s="260"/>
      <c r="S88" s="260"/>
      <c r="T88" s="24"/>
      <c r="U88" s="340">
        <f t="shared" si="5"/>
        <v>0</v>
      </c>
      <c r="V88" s="341"/>
      <c r="W88"/>
      <c r="X88"/>
    </row>
    <row r="89" spans="1:24" ht="22.5" customHeight="1" x14ac:dyDescent="0.25">
      <c r="A89" s="22">
        <v>69</v>
      </c>
      <c r="B89" s="239"/>
      <c r="C89" s="239"/>
      <c r="D89" s="238"/>
      <c r="E89" s="238"/>
      <c r="F89" s="239"/>
      <c r="G89" s="239"/>
      <c r="H89" s="238"/>
      <c r="I89" s="238"/>
      <c r="J89" s="309">
        <f t="shared" si="4"/>
        <v>0</v>
      </c>
      <c r="K89" s="309"/>
      <c r="L89" s="343"/>
      <c r="M89" s="22">
        <v>69</v>
      </c>
      <c r="N89" s="239"/>
      <c r="O89" s="239"/>
      <c r="P89" s="238"/>
      <c r="Q89" s="238"/>
      <c r="R89" s="239"/>
      <c r="S89" s="239"/>
      <c r="T89" s="23"/>
      <c r="U89" s="256">
        <f t="shared" si="5"/>
        <v>0</v>
      </c>
      <c r="V89" s="257"/>
      <c r="W89"/>
      <c r="X89"/>
    </row>
    <row r="90" spans="1:24" ht="22.5" customHeight="1" x14ac:dyDescent="0.25">
      <c r="A90" s="14">
        <v>70</v>
      </c>
      <c r="B90" s="252"/>
      <c r="C90" s="252"/>
      <c r="D90" s="251"/>
      <c r="E90" s="251"/>
      <c r="F90" s="252"/>
      <c r="G90" s="252"/>
      <c r="H90" s="251"/>
      <c r="I90" s="251"/>
      <c r="J90" s="323">
        <f t="shared" si="4"/>
        <v>0</v>
      </c>
      <c r="K90" s="324"/>
      <c r="L90" s="343"/>
      <c r="M90" s="15">
        <v>70</v>
      </c>
      <c r="N90" s="260"/>
      <c r="O90" s="260"/>
      <c r="P90" s="259"/>
      <c r="Q90" s="259"/>
      <c r="R90" s="260"/>
      <c r="S90" s="260"/>
      <c r="T90" s="24"/>
      <c r="U90" s="340">
        <f t="shared" si="5"/>
        <v>0</v>
      </c>
      <c r="V90" s="341"/>
      <c r="W90"/>
      <c r="X90"/>
    </row>
    <row r="91" spans="1:24" ht="22.5" customHeight="1" x14ac:dyDescent="0.25">
      <c r="A91" s="22">
        <v>71</v>
      </c>
      <c r="B91" s="239"/>
      <c r="C91" s="239"/>
      <c r="D91" s="238"/>
      <c r="E91" s="238"/>
      <c r="F91" s="239"/>
      <c r="G91" s="239"/>
      <c r="H91" s="238"/>
      <c r="I91" s="238"/>
      <c r="J91" s="309">
        <f t="shared" si="4"/>
        <v>0</v>
      </c>
      <c r="K91" s="309"/>
      <c r="L91" s="343"/>
      <c r="M91" s="22">
        <v>71</v>
      </c>
      <c r="N91" s="239"/>
      <c r="O91" s="239"/>
      <c r="P91" s="238"/>
      <c r="Q91" s="238"/>
      <c r="R91" s="239"/>
      <c r="S91" s="239"/>
      <c r="T91" s="23"/>
      <c r="U91" s="256">
        <f t="shared" si="5"/>
        <v>0</v>
      </c>
      <c r="V91" s="257"/>
      <c r="W91"/>
      <c r="X91"/>
    </row>
    <row r="92" spans="1:24" ht="22.5" customHeight="1" x14ac:dyDescent="0.25">
      <c r="A92" s="14">
        <v>72</v>
      </c>
      <c r="B92" s="252"/>
      <c r="C92" s="252"/>
      <c r="D92" s="251"/>
      <c r="E92" s="251"/>
      <c r="F92" s="252"/>
      <c r="G92" s="252"/>
      <c r="H92" s="251"/>
      <c r="I92" s="251"/>
      <c r="J92" s="323">
        <f t="shared" si="4"/>
        <v>0</v>
      </c>
      <c r="K92" s="324"/>
      <c r="L92" s="343"/>
      <c r="M92" s="15">
        <v>72</v>
      </c>
      <c r="N92" s="260"/>
      <c r="O92" s="260"/>
      <c r="P92" s="259"/>
      <c r="Q92" s="259"/>
      <c r="R92" s="260"/>
      <c r="S92" s="260"/>
      <c r="T92" s="24"/>
      <c r="U92" s="340">
        <f t="shared" si="5"/>
        <v>0</v>
      </c>
      <c r="V92" s="341"/>
      <c r="W92"/>
      <c r="X92"/>
    </row>
    <row r="93" spans="1:24" ht="22.5" customHeight="1" x14ac:dyDescent="0.25">
      <c r="A93" s="22">
        <v>73</v>
      </c>
      <c r="B93" s="239"/>
      <c r="C93" s="239"/>
      <c r="D93" s="238"/>
      <c r="E93" s="238"/>
      <c r="F93" s="239"/>
      <c r="G93" s="239"/>
      <c r="H93" s="238"/>
      <c r="I93" s="238"/>
      <c r="J93" s="309">
        <f t="shared" si="4"/>
        <v>0</v>
      </c>
      <c r="K93" s="309"/>
      <c r="L93" s="343"/>
      <c r="M93" s="22">
        <v>73</v>
      </c>
      <c r="N93" s="239"/>
      <c r="O93" s="239"/>
      <c r="P93" s="238"/>
      <c r="Q93" s="238"/>
      <c r="R93" s="239"/>
      <c r="S93" s="239"/>
      <c r="T93" s="23"/>
      <c r="U93" s="256">
        <f t="shared" si="5"/>
        <v>0</v>
      </c>
      <c r="V93" s="257"/>
      <c r="W93"/>
      <c r="X93"/>
    </row>
    <row r="94" spans="1:24" ht="22.5" customHeight="1" x14ac:dyDescent="0.25">
      <c r="A94" s="14">
        <v>74</v>
      </c>
      <c r="B94" s="252"/>
      <c r="C94" s="252"/>
      <c r="D94" s="251"/>
      <c r="E94" s="251"/>
      <c r="F94" s="252"/>
      <c r="G94" s="252"/>
      <c r="H94" s="251"/>
      <c r="I94" s="251"/>
      <c r="J94" s="323">
        <f t="shared" si="4"/>
        <v>0</v>
      </c>
      <c r="K94" s="324"/>
      <c r="L94" s="343"/>
      <c r="M94" s="15">
        <v>74</v>
      </c>
      <c r="N94" s="260"/>
      <c r="O94" s="260"/>
      <c r="P94" s="259"/>
      <c r="Q94" s="259"/>
      <c r="R94" s="260"/>
      <c r="S94" s="260"/>
      <c r="T94" s="24"/>
      <c r="U94" s="340">
        <f t="shared" si="5"/>
        <v>0</v>
      </c>
      <c r="V94" s="341"/>
      <c r="W94"/>
      <c r="X94"/>
    </row>
    <row r="95" spans="1:24" ht="22.5" customHeight="1" x14ac:dyDescent="0.25">
      <c r="A95" s="22">
        <v>75</v>
      </c>
      <c r="B95" s="239"/>
      <c r="C95" s="239"/>
      <c r="D95" s="238"/>
      <c r="E95" s="238"/>
      <c r="F95" s="239"/>
      <c r="G95" s="239"/>
      <c r="H95" s="238"/>
      <c r="I95" s="238"/>
      <c r="J95" s="309">
        <f t="shared" si="4"/>
        <v>0</v>
      </c>
      <c r="K95" s="309"/>
      <c r="L95" s="343"/>
      <c r="M95" s="22">
        <v>75</v>
      </c>
      <c r="N95" s="239"/>
      <c r="O95" s="239"/>
      <c r="P95" s="238"/>
      <c r="Q95" s="238"/>
      <c r="R95" s="239"/>
      <c r="S95" s="239"/>
      <c r="T95" s="23"/>
      <c r="U95" s="256">
        <f t="shared" si="5"/>
        <v>0</v>
      </c>
      <c r="V95" s="257"/>
      <c r="W95"/>
      <c r="X95"/>
    </row>
    <row r="96" spans="1:24" ht="22.5" customHeight="1" x14ac:dyDescent="0.25">
      <c r="A96" s="14">
        <v>76</v>
      </c>
      <c r="B96" s="252"/>
      <c r="C96" s="252"/>
      <c r="D96" s="251"/>
      <c r="E96" s="251"/>
      <c r="F96" s="252"/>
      <c r="G96" s="252"/>
      <c r="H96" s="251"/>
      <c r="I96" s="251"/>
      <c r="J96" s="323">
        <f t="shared" si="4"/>
        <v>0</v>
      </c>
      <c r="K96" s="324"/>
      <c r="L96" s="343"/>
      <c r="M96" s="15">
        <v>76</v>
      </c>
      <c r="N96" s="260"/>
      <c r="O96" s="260"/>
      <c r="P96" s="259"/>
      <c r="Q96" s="259"/>
      <c r="R96" s="260"/>
      <c r="S96" s="260"/>
      <c r="T96" s="24"/>
      <c r="U96" s="340">
        <f t="shared" si="5"/>
        <v>0</v>
      </c>
      <c r="V96" s="341"/>
      <c r="W96"/>
      <c r="X96"/>
    </row>
    <row r="97" spans="1:24" ht="22.5" customHeight="1" x14ac:dyDescent="0.25">
      <c r="A97" s="22">
        <v>77</v>
      </c>
      <c r="B97" s="239"/>
      <c r="C97" s="239"/>
      <c r="D97" s="238"/>
      <c r="E97" s="238"/>
      <c r="F97" s="239"/>
      <c r="G97" s="239"/>
      <c r="H97" s="238"/>
      <c r="I97" s="238"/>
      <c r="J97" s="309">
        <f t="shared" si="4"/>
        <v>0</v>
      </c>
      <c r="K97" s="309"/>
      <c r="L97" s="343"/>
      <c r="M97" s="22">
        <v>77</v>
      </c>
      <c r="N97" s="239"/>
      <c r="O97" s="239"/>
      <c r="P97" s="238"/>
      <c r="Q97" s="238"/>
      <c r="R97" s="239"/>
      <c r="S97" s="239"/>
      <c r="T97" s="23"/>
      <c r="U97" s="256">
        <f t="shared" si="5"/>
        <v>0</v>
      </c>
      <c r="V97" s="257"/>
      <c r="W97"/>
      <c r="X97"/>
    </row>
    <row r="98" spans="1:24" ht="22.5" customHeight="1" x14ac:dyDescent="0.25">
      <c r="A98" s="14">
        <v>78</v>
      </c>
      <c r="B98" s="252"/>
      <c r="C98" s="252"/>
      <c r="D98" s="251"/>
      <c r="E98" s="251"/>
      <c r="F98" s="252"/>
      <c r="G98" s="252"/>
      <c r="H98" s="251"/>
      <c r="I98" s="251"/>
      <c r="J98" s="323">
        <f t="shared" si="4"/>
        <v>0</v>
      </c>
      <c r="K98" s="324"/>
      <c r="L98" s="343"/>
      <c r="M98" s="15">
        <v>78</v>
      </c>
      <c r="N98" s="260"/>
      <c r="O98" s="260"/>
      <c r="P98" s="259"/>
      <c r="Q98" s="259"/>
      <c r="R98" s="260"/>
      <c r="S98" s="260"/>
      <c r="T98" s="24"/>
      <c r="U98" s="340">
        <f t="shared" si="5"/>
        <v>0</v>
      </c>
      <c r="V98" s="341"/>
      <c r="W98"/>
      <c r="X98"/>
    </row>
    <row r="99" spans="1:24" ht="22.5" customHeight="1" x14ac:dyDescent="0.25">
      <c r="A99" s="22">
        <v>79</v>
      </c>
      <c r="B99" s="239"/>
      <c r="C99" s="239"/>
      <c r="D99" s="238"/>
      <c r="E99" s="238"/>
      <c r="F99" s="239"/>
      <c r="G99" s="239"/>
      <c r="H99" s="238"/>
      <c r="I99" s="238"/>
      <c r="J99" s="309">
        <f t="shared" si="4"/>
        <v>0</v>
      </c>
      <c r="K99" s="309"/>
      <c r="L99" s="343"/>
      <c r="M99" s="22">
        <v>79</v>
      </c>
      <c r="N99" s="239"/>
      <c r="O99" s="239"/>
      <c r="P99" s="238"/>
      <c r="Q99" s="238"/>
      <c r="R99" s="239"/>
      <c r="S99" s="239"/>
      <c r="T99" s="23"/>
      <c r="U99" s="256">
        <f t="shared" si="5"/>
        <v>0</v>
      </c>
      <c r="V99" s="257"/>
      <c r="W99"/>
      <c r="X99"/>
    </row>
    <row r="100" spans="1:24" ht="22.5" customHeight="1" x14ac:dyDescent="0.25">
      <c r="A100" s="14">
        <v>80</v>
      </c>
      <c r="B100" s="252"/>
      <c r="C100" s="252"/>
      <c r="D100" s="251"/>
      <c r="E100" s="251"/>
      <c r="F100" s="252"/>
      <c r="G100" s="252"/>
      <c r="H100" s="251"/>
      <c r="I100" s="251"/>
      <c r="J100" s="323">
        <f t="shared" si="4"/>
        <v>0</v>
      </c>
      <c r="K100" s="324"/>
      <c r="L100" s="343"/>
      <c r="M100" s="15">
        <v>80</v>
      </c>
      <c r="N100" s="260"/>
      <c r="O100" s="260"/>
      <c r="P100" s="259"/>
      <c r="Q100" s="259"/>
      <c r="R100" s="260"/>
      <c r="S100" s="260"/>
      <c r="T100" s="24"/>
      <c r="U100" s="340">
        <f t="shared" si="5"/>
        <v>0</v>
      </c>
      <c r="V100" s="341"/>
      <c r="W100"/>
      <c r="X100"/>
    </row>
    <row r="101" spans="1:24" ht="22.5" customHeight="1" x14ac:dyDescent="0.25">
      <c r="A101" s="22">
        <v>81</v>
      </c>
      <c r="B101" s="239"/>
      <c r="C101" s="239"/>
      <c r="D101" s="238"/>
      <c r="E101" s="238"/>
      <c r="F101" s="239"/>
      <c r="G101" s="239"/>
      <c r="H101" s="238"/>
      <c r="I101" s="238"/>
      <c r="J101" s="309">
        <f t="shared" si="4"/>
        <v>0</v>
      </c>
      <c r="K101" s="309"/>
      <c r="L101" s="343"/>
      <c r="M101" s="22">
        <v>81</v>
      </c>
      <c r="N101" s="239"/>
      <c r="O101" s="239"/>
      <c r="P101" s="238"/>
      <c r="Q101" s="238"/>
      <c r="R101" s="239"/>
      <c r="S101" s="239"/>
      <c r="T101" s="23"/>
      <c r="U101" s="256">
        <f t="shared" si="5"/>
        <v>0</v>
      </c>
      <c r="V101" s="257"/>
      <c r="W101"/>
      <c r="X101"/>
    </row>
    <row r="102" spans="1:24" ht="22.5" customHeight="1" x14ac:dyDescent="0.25">
      <c r="A102" s="14">
        <v>82</v>
      </c>
      <c r="B102" s="252"/>
      <c r="C102" s="252"/>
      <c r="D102" s="251"/>
      <c r="E102" s="251"/>
      <c r="F102" s="252"/>
      <c r="G102" s="252"/>
      <c r="H102" s="251"/>
      <c r="I102" s="251"/>
      <c r="J102" s="323">
        <f t="shared" si="4"/>
        <v>0</v>
      </c>
      <c r="K102" s="324"/>
      <c r="L102" s="343"/>
      <c r="M102" s="15">
        <v>82</v>
      </c>
      <c r="N102" s="260"/>
      <c r="O102" s="260"/>
      <c r="P102" s="259"/>
      <c r="Q102" s="259"/>
      <c r="R102" s="260"/>
      <c r="S102" s="260"/>
      <c r="T102" s="24"/>
      <c r="U102" s="340">
        <f t="shared" si="5"/>
        <v>0</v>
      </c>
      <c r="V102" s="341"/>
      <c r="W102"/>
      <c r="X102"/>
    </row>
    <row r="103" spans="1:24" ht="22.5" customHeight="1" x14ac:dyDescent="0.25">
      <c r="A103" s="22">
        <v>83</v>
      </c>
      <c r="B103" s="239"/>
      <c r="C103" s="239"/>
      <c r="D103" s="238"/>
      <c r="E103" s="238"/>
      <c r="F103" s="239"/>
      <c r="G103" s="239"/>
      <c r="H103" s="238"/>
      <c r="I103" s="238"/>
      <c r="J103" s="309">
        <f t="shared" si="4"/>
        <v>0</v>
      </c>
      <c r="K103" s="309"/>
      <c r="L103" s="343"/>
      <c r="M103" s="22">
        <v>83</v>
      </c>
      <c r="N103" s="239"/>
      <c r="O103" s="239"/>
      <c r="P103" s="238"/>
      <c r="Q103" s="238"/>
      <c r="R103" s="239"/>
      <c r="S103" s="239"/>
      <c r="T103" s="23"/>
      <c r="U103" s="256">
        <f t="shared" si="5"/>
        <v>0</v>
      </c>
      <c r="V103" s="257"/>
      <c r="W103"/>
      <c r="X103"/>
    </row>
    <row r="104" spans="1:24" ht="22.5" customHeight="1" x14ac:dyDescent="0.25">
      <c r="A104" s="14">
        <v>84</v>
      </c>
      <c r="B104" s="252"/>
      <c r="C104" s="252"/>
      <c r="D104" s="251"/>
      <c r="E104" s="251"/>
      <c r="F104" s="252"/>
      <c r="G104" s="252"/>
      <c r="H104" s="251"/>
      <c r="I104" s="251"/>
      <c r="J104" s="323">
        <f t="shared" si="4"/>
        <v>0</v>
      </c>
      <c r="K104" s="324"/>
      <c r="L104" s="343"/>
      <c r="M104" s="15">
        <v>84</v>
      </c>
      <c r="N104" s="260"/>
      <c r="O104" s="260"/>
      <c r="P104" s="259"/>
      <c r="Q104" s="259"/>
      <c r="R104" s="260"/>
      <c r="S104" s="260"/>
      <c r="T104" s="24"/>
      <c r="U104" s="340">
        <f t="shared" si="5"/>
        <v>0</v>
      </c>
      <c r="V104" s="341"/>
      <c r="W104"/>
      <c r="X104"/>
    </row>
    <row r="105" spans="1:24" ht="22.5" customHeight="1" x14ac:dyDescent="0.25">
      <c r="A105" s="22">
        <v>85</v>
      </c>
      <c r="B105" s="239"/>
      <c r="C105" s="239"/>
      <c r="D105" s="238"/>
      <c r="E105" s="238"/>
      <c r="F105" s="239"/>
      <c r="G105" s="239"/>
      <c r="H105" s="238"/>
      <c r="I105" s="238"/>
      <c r="J105" s="309">
        <f t="shared" si="4"/>
        <v>0</v>
      </c>
      <c r="K105" s="309"/>
      <c r="L105" s="343"/>
      <c r="M105" s="22">
        <v>85</v>
      </c>
      <c r="N105" s="239"/>
      <c r="O105" s="239"/>
      <c r="P105" s="238"/>
      <c r="Q105" s="238"/>
      <c r="R105" s="239"/>
      <c r="S105" s="239"/>
      <c r="T105" s="23"/>
      <c r="U105" s="256">
        <f t="shared" si="5"/>
        <v>0</v>
      </c>
      <c r="V105" s="257"/>
      <c r="W105"/>
      <c r="X105"/>
    </row>
    <row r="106" spans="1:24" ht="22.5" customHeight="1" x14ac:dyDescent="0.25">
      <c r="A106" s="14">
        <v>86</v>
      </c>
      <c r="B106" s="252"/>
      <c r="C106" s="252"/>
      <c r="D106" s="251"/>
      <c r="E106" s="251"/>
      <c r="F106" s="252"/>
      <c r="G106" s="252"/>
      <c r="H106" s="251"/>
      <c r="I106" s="251"/>
      <c r="J106" s="323">
        <f t="shared" si="4"/>
        <v>0</v>
      </c>
      <c r="K106" s="324"/>
      <c r="L106" s="343"/>
      <c r="M106" s="15">
        <v>86</v>
      </c>
      <c r="N106" s="260"/>
      <c r="O106" s="260"/>
      <c r="P106" s="259"/>
      <c r="Q106" s="259"/>
      <c r="R106" s="260"/>
      <c r="S106" s="260"/>
      <c r="T106" s="24"/>
      <c r="U106" s="340">
        <f t="shared" si="5"/>
        <v>0</v>
      </c>
      <c r="V106" s="341"/>
      <c r="W106"/>
      <c r="X106"/>
    </row>
    <row r="107" spans="1:24" ht="22.5" customHeight="1" x14ac:dyDescent="0.25">
      <c r="A107" s="22">
        <v>87</v>
      </c>
      <c r="B107" s="239"/>
      <c r="C107" s="239"/>
      <c r="D107" s="238"/>
      <c r="E107" s="238"/>
      <c r="F107" s="239"/>
      <c r="G107" s="239"/>
      <c r="H107" s="238"/>
      <c r="I107" s="238"/>
      <c r="J107" s="309">
        <f t="shared" si="4"/>
        <v>0</v>
      </c>
      <c r="K107" s="309"/>
      <c r="L107" s="343"/>
      <c r="M107" s="22">
        <v>87</v>
      </c>
      <c r="N107" s="239"/>
      <c r="O107" s="239"/>
      <c r="P107" s="238"/>
      <c r="Q107" s="238"/>
      <c r="R107" s="239"/>
      <c r="S107" s="239"/>
      <c r="T107" s="23"/>
      <c r="U107" s="256">
        <f t="shared" si="5"/>
        <v>0</v>
      </c>
      <c r="V107" s="257"/>
      <c r="W107"/>
      <c r="X107"/>
    </row>
    <row r="108" spans="1:24" ht="22.5" customHeight="1" x14ac:dyDescent="0.25">
      <c r="A108" s="14">
        <v>88</v>
      </c>
      <c r="B108" s="252"/>
      <c r="C108" s="252"/>
      <c r="D108" s="251"/>
      <c r="E108" s="251"/>
      <c r="F108" s="252"/>
      <c r="G108" s="252"/>
      <c r="H108" s="251"/>
      <c r="I108" s="251"/>
      <c r="J108" s="323">
        <f t="shared" si="4"/>
        <v>0</v>
      </c>
      <c r="K108" s="324"/>
      <c r="L108" s="343"/>
      <c r="M108" s="15">
        <v>88</v>
      </c>
      <c r="N108" s="260"/>
      <c r="O108" s="260"/>
      <c r="P108" s="259"/>
      <c r="Q108" s="259"/>
      <c r="R108" s="260"/>
      <c r="S108" s="260"/>
      <c r="T108" s="24"/>
      <c r="U108" s="340">
        <f t="shared" si="5"/>
        <v>0</v>
      </c>
      <c r="V108" s="341"/>
      <c r="W108"/>
      <c r="X108"/>
    </row>
    <row r="109" spans="1:24" ht="22.5" customHeight="1" x14ac:dyDescent="0.25">
      <c r="A109" s="22">
        <v>89</v>
      </c>
      <c r="B109" s="239"/>
      <c r="C109" s="239"/>
      <c r="D109" s="238"/>
      <c r="E109" s="238"/>
      <c r="F109" s="239"/>
      <c r="G109" s="239"/>
      <c r="H109" s="238"/>
      <c r="I109" s="238"/>
      <c r="J109" s="309">
        <f t="shared" si="4"/>
        <v>0</v>
      </c>
      <c r="K109" s="309"/>
      <c r="L109" s="343"/>
      <c r="M109" s="22">
        <v>89</v>
      </c>
      <c r="N109" s="239"/>
      <c r="O109" s="239"/>
      <c r="P109" s="238"/>
      <c r="Q109" s="238"/>
      <c r="R109" s="239"/>
      <c r="S109" s="239"/>
      <c r="T109" s="23"/>
      <c r="U109" s="256">
        <f t="shared" si="5"/>
        <v>0</v>
      </c>
      <c r="V109" s="257"/>
      <c r="W109"/>
      <c r="X109"/>
    </row>
    <row r="110" spans="1:24" ht="22.5" customHeight="1" x14ac:dyDescent="0.25">
      <c r="A110" s="14">
        <v>90</v>
      </c>
      <c r="B110" s="252"/>
      <c r="C110" s="252"/>
      <c r="D110" s="251"/>
      <c r="E110" s="251"/>
      <c r="F110" s="252"/>
      <c r="G110" s="252"/>
      <c r="H110" s="251"/>
      <c r="I110" s="251"/>
      <c r="J110" s="323">
        <f t="shared" si="4"/>
        <v>0</v>
      </c>
      <c r="K110" s="324"/>
      <c r="L110" s="343"/>
      <c r="M110" s="15">
        <v>90</v>
      </c>
      <c r="N110" s="260"/>
      <c r="O110" s="260"/>
      <c r="P110" s="259"/>
      <c r="Q110" s="259"/>
      <c r="R110" s="260"/>
      <c r="S110" s="260"/>
      <c r="T110" s="24"/>
      <c r="U110" s="340">
        <f t="shared" si="5"/>
        <v>0</v>
      </c>
      <c r="V110" s="341"/>
      <c r="W110"/>
      <c r="X110"/>
    </row>
    <row r="111" spans="1:24" ht="22.5" customHeight="1" x14ac:dyDescent="0.25">
      <c r="A111" s="22">
        <v>91</v>
      </c>
      <c r="B111" s="239"/>
      <c r="C111" s="239"/>
      <c r="D111" s="238"/>
      <c r="E111" s="238"/>
      <c r="F111" s="239"/>
      <c r="G111" s="239"/>
      <c r="H111" s="238"/>
      <c r="I111" s="238"/>
      <c r="J111" s="309">
        <f t="shared" si="4"/>
        <v>0</v>
      </c>
      <c r="K111" s="309"/>
      <c r="L111" s="343"/>
      <c r="M111" s="22">
        <v>91</v>
      </c>
      <c r="N111" s="239"/>
      <c r="O111" s="239"/>
      <c r="P111" s="238"/>
      <c r="Q111" s="238"/>
      <c r="R111" s="239"/>
      <c r="S111" s="239"/>
      <c r="T111" s="23"/>
      <c r="U111" s="256">
        <f t="shared" si="5"/>
        <v>0</v>
      </c>
      <c r="V111" s="257"/>
      <c r="W111"/>
      <c r="X111"/>
    </row>
    <row r="112" spans="1:24" ht="22.5" customHeight="1" x14ac:dyDescent="0.25">
      <c r="A112" s="14">
        <v>92</v>
      </c>
      <c r="B112" s="252"/>
      <c r="C112" s="252"/>
      <c r="D112" s="251"/>
      <c r="E112" s="251"/>
      <c r="F112" s="252"/>
      <c r="G112" s="252"/>
      <c r="H112" s="251"/>
      <c r="I112" s="251"/>
      <c r="J112" s="323">
        <f t="shared" si="4"/>
        <v>0</v>
      </c>
      <c r="K112" s="324"/>
      <c r="L112" s="343"/>
      <c r="M112" s="15">
        <v>92</v>
      </c>
      <c r="N112" s="260"/>
      <c r="O112" s="260"/>
      <c r="P112" s="259"/>
      <c r="Q112" s="259"/>
      <c r="R112" s="260"/>
      <c r="S112" s="260"/>
      <c r="T112" s="24"/>
      <c r="U112" s="340">
        <f t="shared" si="5"/>
        <v>0</v>
      </c>
      <c r="V112" s="341"/>
      <c r="W112"/>
      <c r="X112"/>
    </row>
    <row r="113" spans="1:24" ht="22.5" customHeight="1" x14ac:dyDescent="0.25">
      <c r="A113" s="22">
        <v>93</v>
      </c>
      <c r="B113" s="239"/>
      <c r="C113" s="239"/>
      <c r="D113" s="238"/>
      <c r="E113" s="238"/>
      <c r="F113" s="239"/>
      <c r="G113" s="239"/>
      <c r="H113" s="238"/>
      <c r="I113" s="238"/>
      <c r="J113" s="309">
        <f t="shared" si="4"/>
        <v>0</v>
      </c>
      <c r="K113" s="309"/>
      <c r="L113" s="343"/>
      <c r="M113" s="22">
        <v>93</v>
      </c>
      <c r="N113" s="239"/>
      <c r="O113" s="239"/>
      <c r="P113" s="238"/>
      <c r="Q113" s="238"/>
      <c r="R113" s="239"/>
      <c r="S113" s="239"/>
      <c r="T113" s="23"/>
      <c r="U113" s="256">
        <f t="shared" si="5"/>
        <v>0</v>
      </c>
      <c r="V113" s="257"/>
      <c r="W113"/>
      <c r="X113"/>
    </row>
    <row r="114" spans="1:24" ht="22.5" customHeight="1" x14ac:dyDescent="0.25">
      <c r="A114" s="14">
        <v>94</v>
      </c>
      <c r="B114" s="252"/>
      <c r="C114" s="252"/>
      <c r="D114" s="251"/>
      <c r="E114" s="251"/>
      <c r="F114" s="252"/>
      <c r="G114" s="252"/>
      <c r="H114" s="251"/>
      <c r="I114" s="251"/>
      <c r="J114" s="323">
        <f t="shared" si="4"/>
        <v>0</v>
      </c>
      <c r="K114" s="324"/>
      <c r="L114" s="343"/>
      <c r="M114" s="15">
        <v>94</v>
      </c>
      <c r="N114" s="260"/>
      <c r="O114" s="260"/>
      <c r="P114" s="259"/>
      <c r="Q114" s="259"/>
      <c r="R114" s="260"/>
      <c r="S114" s="260"/>
      <c r="T114" s="24"/>
      <c r="U114" s="340">
        <f t="shared" si="5"/>
        <v>0</v>
      </c>
      <c r="V114" s="341"/>
      <c r="W114"/>
      <c r="X114"/>
    </row>
    <row r="115" spans="1:24" ht="22.5" customHeight="1" x14ac:dyDescent="0.25">
      <c r="A115" s="22">
        <v>95</v>
      </c>
      <c r="B115" s="239"/>
      <c r="C115" s="239"/>
      <c r="D115" s="238"/>
      <c r="E115" s="238"/>
      <c r="F115" s="239"/>
      <c r="G115" s="239"/>
      <c r="H115" s="238"/>
      <c r="I115" s="238"/>
      <c r="J115" s="309">
        <f t="shared" si="4"/>
        <v>0</v>
      </c>
      <c r="K115" s="309"/>
      <c r="L115" s="343"/>
      <c r="M115" s="22">
        <v>95</v>
      </c>
      <c r="N115" s="239"/>
      <c r="O115" s="239"/>
      <c r="P115" s="238"/>
      <c r="Q115" s="238"/>
      <c r="R115" s="239"/>
      <c r="S115" s="239"/>
      <c r="T115" s="23"/>
      <c r="U115" s="256">
        <f t="shared" si="5"/>
        <v>0</v>
      </c>
      <c r="V115" s="257"/>
      <c r="W115"/>
      <c r="X115"/>
    </row>
    <row r="116" spans="1:24" ht="22.5" customHeight="1" x14ac:dyDescent="0.25">
      <c r="A116" s="14">
        <v>96</v>
      </c>
      <c r="B116" s="252"/>
      <c r="C116" s="252"/>
      <c r="D116" s="251"/>
      <c r="E116" s="251"/>
      <c r="F116" s="252"/>
      <c r="G116" s="252"/>
      <c r="H116" s="251"/>
      <c r="I116" s="251"/>
      <c r="J116" s="323">
        <f t="shared" si="4"/>
        <v>0</v>
      </c>
      <c r="K116" s="324"/>
      <c r="L116" s="343"/>
      <c r="M116" s="15">
        <v>96</v>
      </c>
      <c r="N116" s="260"/>
      <c r="O116" s="260"/>
      <c r="P116" s="259"/>
      <c r="Q116" s="259"/>
      <c r="R116" s="260"/>
      <c r="S116" s="260"/>
      <c r="T116" s="24"/>
      <c r="U116" s="340">
        <f t="shared" si="5"/>
        <v>0</v>
      </c>
      <c r="V116" s="341"/>
      <c r="W116"/>
      <c r="X116"/>
    </row>
    <row r="117" spans="1:24" ht="22.5" customHeight="1" x14ac:dyDescent="0.25">
      <c r="A117" s="22">
        <v>97</v>
      </c>
      <c r="B117" s="239"/>
      <c r="C117" s="239"/>
      <c r="D117" s="238"/>
      <c r="E117" s="238"/>
      <c r="F117" s="239"/>
      <c r="G117" s="239"/>
      <c r="H117" s="238"/>
      <c r="I117" s="238"/>
      <c r="J117" s="309">
        <f t="shared" si="4"/>
        <v>0</v>
      </c>
      <c r="K117" s="309"/>
      <c r="L117" s="343"/>
      <c r="M117" s="22">
        <v>97</v>
      </c>
      <c r="N117" s="239"/>
      <c r="O117" s="239"/>
      <c r="P117" s="238"/>
      <c r="Q117" s="238"/>
      <c r="R117" s="239"/>
      <c r="S117" s="239"/>
      <c r="T117" s="23"/>
      <c r="U117" s="256">
        <f t="shared" si="5"/>
        <v>0</v>
      </c>
      <c r="V117" s="257"/>
      <c r="W117"/>
      <c r="X117"/>
    </row>
    <row r="118" spans="1:24" ht="22.5" customHeight="1" x14ac:dyDescent="0.25">
      <c r="A118" s="14">
        <v>98</v>
      </c>
      <c r="B118" s="252"/>
      <c r="C118" s="252"/>
      <c r="D118" s="251"/>
      <c r="E118" s="251"/>
      <c r="F118" s="252"/>
      <c r="G118" s="252"/>
      <c r="H118" s="251"/>
      <c r="I118" s="251"/>
      <c r="J118" s="323">
        <f t="shared" si="4"/>
        <v>0</v>
      </c>
      <c r="K118" s="324"/>
      <c r="L118" s="343"/>
      <c r="M118" s="15">
        <v>98</v>
      </c>
      <c r="N118" s="260"/>
      <c r="O118" s="260"/>
      <c r="P118" s="259"/>
      <c r="Q118" s="259"/>
      <c r="R118" s="260"/>
      <c r="S118" s="260"/>
      <c r="T118" s="24"/>
      <c r="U118" s="340">
        <f t="shared" si="5"/>
        <v>0</v>
      </c>
      <c r="V118" s="341"/>
      <c r="W118"/>
      <c r="X118"/>
    </row>
    <row r="119" spans="1:24" ht="22.5" customHeight="1" x14ac:dyDescent="0.25">
      <c r="A119" s="22">
        <v>99</v>
      </c>
      <c r="B119" s="239"/>
      <c r="C119" s="239"/>
      <c r="D119" s="238"/>
      <c r="E119" s="238"/>
      <c r="F119" s="239"/>
      <c r="G119" s="239"/>
      <c r="H119" s="238"/>
      <c r="I119" s="238"/>
      <c r="J119" s="309">
        <f t="shared" si="4"/>
        <v>0</v>
      </c>
      <c r="K119" s="309"/>
      <c r="L119" s="343"/>
      <c r="M119" s="22">
        <v>99</v>
      </c>
      <c r="N119" s="239"/>
      <c r="O119" s="239"/>
      <c r="P119" s="238"/>
      <c r="Q119" s="238"/>
      <c r="R119" s="239"/>
      <c r="S119" s="239"/>
      <c r="T119" s="23"/>
      <c r="U119" s="256">
        <f t="shared" si="5"/>
        <v>0</v>
      </c>
      <c r="V119" s="257"/>
      <c r="W119"/>
      <c r="X119"/>
    </row>
    <row r="120" spans="1:24" ht="22.5" customHeight="1" x14ac:dyDescent="0.25">
      <c r="A120" s="14">
        <v>100</v>
      </c>
      <c r="B120" s="252"/>
      <c r="C120" s="252"/>
      <c r="D120" s="251"/>
      <c r="E120" s="251"/>
      <c r="F120" s="252"/>
      <c r="G120" s="252"/>
      <c r="H120" s="251"/>
      <c r="I120" s="251"/>
      <c r="J120" s="323">
        <f t="shared" si="4"/>
        <v>0</v>
      </c>
      <c r="K120" s="324"/>
      <c r="L120" s="343"/>
      <c r="M120" s="15">
        <v>100</v>
      </c>
      <c r="N120" s="260"/>
      <c r="O120" s="260"/>
      <c r="P120" s="259"/>
      <c r="Q120" s="259"/>
      <c r="R120" s="260"/>
      <c r="S120" s="260"/>
      <c r="T120" s="24"/>
      <c r="U120" s="340">
        <f t="shared" si="5"/>
        <v>0</v>
      </c>
      <c r="V120" s="341"/>
      <c r="W120"/>
      <c r="X120"/>
    </row>
    <row r="121" spans="1:24" ht="22.5" customHeight="1" x14ac:dyDescent="0.25">
      <c r="A121" s="22">
        <v>101</v>
      </c>
      <c r="B121" s="239"/>
      <c r="C121" s="239"/>
      <c r="D121" s="238"/>
      <c r="E121" s="238"/>
      <c r="F121" s="239"/>
      <c r="G121" s="239"/>
      <c r="H121" s="238"/>
      <c r="I121" s="238"/>
      <c r="J121" s="309">
        <f t="shared" si="4"/>
        <v>0</v>
      </c>
      <c r="K121" s="309"/>
      <c r="L121" s="343"/>
      <c r="M121" s="22">
        <v>101</v>
      </c>
      <c r="N121" s="239"/>
      <c r="O121" s="239"/>
      <c r="P121" s="238"/>
      <c r="Q121" s="238"/>
      <c r="R121" s="239"/>
      <c r="S121" s="239"/>
      <c r="T121" s="23"/>
      <c r="U121" s="256">
        <f t="shared" si="5"/>
        <v>0</v>
      </c>
      <c r="V121" s="257"/>
      <c r="W121"/>
      <c r="X121"/>
    </row>
    <row r="122" spans="1:24" ht="22.5" customHeight="1" x14ac:dyDescent="0.25">
      <c r="A122" s="14">
        <v>102</v>
      </c>
      <c r="B122" s="252"/>
      <c r="C122" s="252"/>
      <c r="D122" s="251"/>
      <c r="E122" s="251"/>
      <c r="F122" s="252"/>
      <c r="G122" s="252"/>
      <c r="H122" s="251"/>
      <c r="I122" s="251"/>
      <c r="J122" s="323">
        <f t="shared" si="4"/>
        <v>0</v>
      </c>
      <c r="K122" s="324"/>
      <c r="L122" s="343"/>
      <c r="M122" s="15">
        <v>102</v>
      </c>
      <c r="N122" s="260"/>
      <c r="O122" s="260"/>
      <c r="P122" s="259"/>
      <c r="Q122" s="259"/>
      <c r="R122" s="260"/>
      <c r="S122" s="260"/>
      <c r="T122" s="24"/>
      <c r="U122" s="340">
        <f t="shared" si="5"/>
        <v>0</v>
      </c>
      <c r="V122" s="341"/>
      <c r="W122"/>
      <c r="X122"/>
    </row>
    <row r="123" spans="1:24" ht="22.5" customHeight="1" x14ac:dyDescent="0.25">
      <c r="A123" s="22">
        <v>103</v>
      </c>
      <c r="B123" s="239"/>
      <c r="C123" s="239"/>
      <c r="D123" s="238"/>
      <c r="E123" s="238"/>
      <c r="F123" s="239"/>
      <c r="G123" s="239"/>
      <c r="H123" s="238"/>
      <c r="I123" s="238"/>
      <c r="J123" s="309">
        <f t="shared" si="4"/>
        <v>0</v>
      </c>
      <c r="K123" s="309"/>
      <c r="L123" s="343"/>
      <c r="M123" s="22">
        <v>103</v>
      </c>
      <c r="N123" s="239"/>
      <c r="O123" s="239"/>
      <c r="P123" s="238"/>
      <c r="Q123" s="238"/>
      <c r="R123" s="239"/>
      <c r="S123" s="239"/>
      <c r="T123" s="23"/>
      <c r="U123" s="256">
        <f t="shared" si="5"/>
        <v>0</v>
      </c>
      <c r="V123" s="257"/>
      <c r="W123"/>
      <c r="X123"/>
    </row>
    <row r="124" spans="1:24" ht="22.5" customHeight="1" x14ac:dyDescent="0.25">
      <c r="A124" s="14">
        <v>104</v>
      </c>
      <c r="B124" s="252"/>
      <c r="C124" s="252"/>
      <c r="D124" s="251"/>
      <c r="E124" s="251"/>
      <c r="F124" s="252"/>
      <c r="G124" s="252"/>
      <c r="H124" s="251"/>
      <c r="I124" s="251"/>
      <c r="J124" s="323">
        <f t="shared" si="4"/>
        <v>0</v>
      </c>
      <c r="K124" s="324"/>
      <c r="L124" s="343"/>
      <c r="M124" s="15">
        <v>104</v>
      </c>
      <c r="N124" s="260"/>
      <c r="O124" s="260"/>
      <c r="P124" s="259"/>
      <c r="Q124" s="259"/>
      <c r="R124" s="260"/>
      <c r="S124" s="260"/>
      <c r="T124" s="24"/>
      <c r="U124" s="340">
        <f t="shared" si="5"/>
        <v>0</v>
      </c>
      <c r="V124" s="341"/>
      <c r="W124"/>
      <c r="X124"/>
    </row>
    <row r="125" spans="1:24" ht="22.5" customHeight="1" x14ac:dyDescent="0.25">
      <c r="A125" s="22">
        <v>105</v>
      </c>
      <c r="B125" s="239"/>
      <c r="C125" s="239"/>
      <c r="D125" s="238"/>
      <c r="E125" s="238"/>
      <c r="F125" s="239"/>
      <c r="G125" s="239"/>
      <c r="H125" s="238"/>
      <c r="I125" s="238"/>
      <c r="J125" s="309">
        <f t="shared" si="4"/>
        <v>0</v>
      </c>
      <c r="K125" s="309"/>
      <c r="L125" s="343"/>
      <c r="M125" s="22">
        <v>105</v>
      </c>
      <c r="N125" s="239"/>
      <c r="O125" s="239"/>
      <c r="P125" s="238"/>
      <c r="Q125" s="238"/>
      <c r="R125" s="239"/>
      <c r="S125" s="239"/>
      <c r="T125" s="23"/>
      <c r="U125" s="256">
        <f t="shared" si="5"/>
        <v>0</v>
      </c>
      <c r="V125" s="257"/>
      <c r="W125"/>
      <c r="X125"/>
    </row>
    <row r="126" spans="1:24" ht="22.5" customHeight="1" x14ac:dyDescent="0.25">
      <c r="A126" s="14">
        <v>106</v>
      </c>
      <c r="B126" s="252"/>
      <c r="C126" s="252"/>
      <c r="D126" s="251"/>
      <c r="E126" s="251"/>
      <c r="F126" s="252"/>
      <c r="G126" s="252"/>
      <c r="H126" s="251"/>
      <c r="I126" s="251"/>
      <c r="J126" s="323">
        <f t="shared" si="4"/>
        <v>0</v>
      </c>
      <c r="K126" s="324"/>
      <c r="L126" s="343"/>
      <c r="M126" s="15">
        <v>106</v>
      </c>
      <c r="N126" s="260"/>
      <c r="O126" s="260"/>
      <c r="P126" s="259"/>
      <c r="Q126" s="259"/>
      <c r="R126" s="260"/>
      <c r="S126" s="260"/>
      <c r="T126" s="24"/>
      <c r="U126" s="340">
        <f t="shared" si="5"/>
        <v>0</v>
      </c>
      <c r="V126" s="341"/>
      <c r="W126"/>
      <c r="X126"/>
    </row>
    <row r="127" spans="1:24" ht="22.5" customHeight="1" x14ac:dyDescent="0.25">
      <c r="A127" s="22">
        <v>107</v>
      </c>
      <c r="B127" s="239"/>
      <c r="C127" s="239"/>
      <c r="D127" s="238"/>
      <c r="E127" s="238"/>
      <c r="F127" s="239"/>
      <c r="G127" s="239"/>
      <c r="H127" s="238"/>
      <c r="I127" s="238"/>
      <c r="J127" s="309">
        <f t="shared" si="4"/>
        <v>0</v>
      </c>
      <c r="K127" s="309"/>
      <c r="L127" s="343"/>
      <c r="M127" s="22">
        <v>107</v>
      </c>
      <c r="N127" s="239"/>
      <c r="O127" s="239"/>
      <c r="P127" s="238"/>
      <c r="Q127" s="238"/>
      <c r="R127" s="239"/>
      <c r="S127" s="239"/>
      <c r="T127" s="23"/>
      <c r="U127" s="256">
        <f t="shared" si="5"/>
        <v>0</v>
      </c>
      <c r="V127" s="257"/>
      <c r="W127"/>
      <c r="X127"/>
    </row>
    <row r="128" spans="1:24" ht="22.5" customHeight="1" x14ac:dyDescent="0.25">
      <c r="A128" s="14">
        <v>108</v>
      </c>
      <c r="B128" s="252"/>
      <c r="C128" s="252"/>
      <c r="D128" s="251"/>
      <c r="E128" s="251"/>
      <c r="F128" s="252"/>
      <c r="G128" s="252"/>
      <c r="H128" s="251"/>
      <c r="I128" s="251"/>
      <c r="J128" s="323">
        <f t="shared" si="4"/>
        <v>0</v>
      </c>
      <c r="K128" s="324"/>
      <c r="L128" s="343"/>
      <c r="M128" s="15">
        <v>108</v>
      </c>
      <c r="N128" s="260"/>
      <c r="O128" s="260"/>
      <c r="P128" s="259"/>
      <c r="Q128" s="259"/>
      <c r="R128" s="260"/>
      <c r="S128" s="260"/>
      <c r="T128" s="24"/>
      <c r="U128" s="340">
        <f t="shared" si="5"/>
        <v>0</v>
      </c>
      <c r="V128" s="341"/>
      <c r="W128"/>
      <c r="X128"/>
    </row>
    <row r="129" spans="1:24" ht="22.5" customHeight="1" x14ac:dyDescent="0.25">
      <c r="A129" s="22">
        <v>109</v>
      </c>
      <c r="B129" s="239"/>
      <c r="C129" s="239"/>
      <c r="D129" s="238"/>
      <c r="E129" s="238"/>
      <c r="F129" s="239"/>
      <c r="G129" s="239"/>
      <c r="H129" s="238"/>
      <c r="I129" s="238"/>
      <c r="J129" s="309">
        <f t="shared" si="4"/>
        <v>0</v>
      </c>
      <c r="K129" s="309"/>
      <c r="L129" s="343"/>
      <c r="M129" s="22">
        <v>109</v>
      </c>
      <c r="N129" s="239"/>
      <c r="O129" s="239"/>
      <c r="P129" s="238"/>
      <c r="Q129" s="238"/>
      <c r="R129" s="239"/>
      <c r="S129" s="239"/>
      <c r="T129" s="23"/>
      <c r="U129" s="256">
        <f t="shared" si="5"/>
        <v>0</v>
      </c>
      <c r="V129" s="257"/>
      <c r="W129"/>
      <c r="X129"/>
    </row>
    <row r="130" spans="1:24" ht="22.5" customHeight="1" x14ac:dyDescent="0.25">
      <c r="A130" s="14">
        <v>110</v>
      </c>
      <c r="B130" s="252"/>
      <c r="C130" s="252"/>
      <c r="D130" s="251"/>
      <c r="E130" s="251"/>
      <c r="F130" s="252"/>
      <c r="G130" s="252"/>
      <c r="H130" s="251"/>
      <c r="I130" s="251"/>
      <c r="J130" s="323">
        <f t="shared" si="4"/>
        <v>0</v>
      </c>
      <c r="K130" s="324"/>
      <c r="L130" s="343"/>
      <c r="M130" s="15">
        <v>110</v>
      </c>
      <c r="N130" s="260"/>
      <c r="O130" s="260"/>
      <c r="P130" s="259"/>
      <c r="Q130" s="259"/>
      <c r="R130" s="260"/>
      <c r="S130" s="260"/>
      <c r="T130" s="24"/>
      <c r="U130" s="340">
        <f t="shared" si="5"/>
        <v>0</v>
      </c>
      <c r="V130" s="341"/>
      <c r="W130"/>
      <c r="X130"/>
    </row>
    <row r="131" spans="1:24" ht="22.5" customHeight="1" x14ac:dyDescent="0.25">
      <c r="A131" s="22">
        <v>111</v>
      </c>
      <c r="B131" s="239"/>
      <c r="C131" s="239"/>
      <c r="D131" s="238"/>
      <c r="E131" s="238"/>
      <c r="F131" s="239"/>
      <c r="G131" s="239"/>
      <c r="H131" s="238"/>
      <c r="I131" s="238"/>
      <c r="J131" s="309">
        <f t="shared" si="4"/>
        <v>0</v>
      </c>
      <c r="K131" s="309"/>
      <c r="L131" s="343"/>
      <c r="M131" s="22">
        <v>111</v>
      </c>
      <c r="N131" s="239"/>
      <c r="O131" s="239"/>
      <c r="P131" s="238"/>
      <c r="Q131" s="238"/>
      <c r="R131" s="239"/>
      <c r="S131" s="239"/>
      <c r="T131" s="23"/>
      <c r="U131" s="256">
        <f t="shared" si="5"/>
        <v>0</v>
      </c>
      <c r="V131" s="257"/>
      <c r="W131"/>
      <c r="X131"/>
    </row>
    <row r="132" spans="1:24" ht="22.5" customHeight="1" x14ac:dyDescent="0.25">
      <c r="A132" s="14">
        <v>112</v>
      </c>
      <c r="B132" s="252"/>
      <c r="C132" s="252"/>
      <c r="D132" s="251"/>
      <c r="E132" s="251"/>
      <c r="F132" s="252"/>
      <c r="G132" s="252"/>
      <c r="H132" s="251"/>
      <c r="I132" s="251"/>
      <c r="J132" s="323">
        <f t="shared" si="4"/>
        <v>0</v>
      </c>
      <c r="K132" s="324"/>
      <c r="L132" s="343"/>
      <c r="M132" s="15">
        <v>112</v>
      </c>
      <c r="N132" s="260"/>
      <c r="O132" s="260"/>
      <c r="P132" s="259"/>
      <c r="Q132" s="259"/>
      <c r="R132" s="260"/>
      <c r="S132" s="260"/>
      <c r="T132" s="24"/>
      <c r="U132" s="340">
        <f t="shared" si="5"/>
        <v>0</v>
      </c>
      <c r="V132" s="341"/>
      <c r="W132"/>
      <c r="X132"/>
    </row>
    <row r="133" spans="1:24" ht="22.5" customHeight="1" x14ac:dyDescent="0.25">
      <c r="A133" s="22">
        <v>113</v>
      </c>
      <c r="B133" s="239"/>
      <c r="C133" s="239"/>
      <c r="D133" s="238"/>
      <c r="E133" s="238"/>
      <c r="F133" s="239"/>
      <c r="G133" s="239"/>
      <c r="H133" s="238"/>
      <c r="I133" s="238"/>
      <c r="J133" s="309">
        <f t="shared" si="4"/>
        <v>0</v>
      </c>
      <c r="K133" s="309"/>
      <c r="L133" s="343"/>
      <c r="M133" s="22">
        <v>113</v>
      </c>
      <c r="N133" s="239"/>
      <c r="O133" s="239"/>
      <c r="P133" s="238"/>
      <c r="Q133" s="238"/>
      <c r="R133" s="239"/>
      <c r="S133" s="239"/>
      <c r="T133" s="23"/>
      <c r="U133" s="256">
        <f t="shared" si="5"/>
        <v>0</v>
      </c>
      <c r="V133" s="257"/>
      <c r="W133"/>
      <c r="X133"/>
    </row>
    <row r="134" spans="1:24" ht="22.5" customHeight="1" x14ac:dyDescent="0.25">
      <c r="A134" s="14">
        <v>114</v>
      </c>
      <c r="B134" s="252"/>
      <c r="C134" s="252"/>
      <c r="D134" s="251"/>
      <c r="E134" s="251"/>
      <c r="F134" s="252"/>
      <c r="G134" s="252"/>
      <c r="H134" s="251"/>
      <c r="I134" s="251"/>
      <c r="J134" s="323">
        <f t="shared" si="4"/>
        <v>0</v>
      </c>
      <c r="K134" s="324"/>
      <c r="L134" s="343"/>
      <c r="M134" s="15">
        <v>114</v>
      </c>
      <c r="N134" s="260"/>
      <c r="O134" s="260"/>
      <c r="P134" s="259"/>
      <c r="Q134" s="259"/>
      <c r="R134" s="260"/>
      <c r="S134" s="260"/>
      <c r="T134" s="24"/>
      <c r="U134" s="340">
        <f t="shared" si="5"/>
        <v>0</v>
      </c>
      <c r="V134" s="341"/>
      <c r="W134"/>
      <c r="X134"/>
    </row>
    <row r="135" spans="1:24" ht="22.5" customHeight="1" x14ac:dyDescent="0.25">
      <c r="A135" s="22">
        <v>115</v>
      </c>
      <c r="B135" s="239"/>
      <c r="C135" s="239"/>
      <c r="D135" s="238"/>
      <c r="E135" s="238"/>
      <c r="F135" s="239"/>
      <c r="G135" s="239"/>
      <c r="H135" s="238"/>
      <c r="I135" s="238"/>
      <c r="J135" s="309">
        <f t="shared" si="4"/>
        <v>0</v>
      </c>
      <c r="K135" s="309"/>
      <c r="L135" s="343"/>
      <c r="M135" s="22">
        <v>115</v>
      </c>
      <c r="N135" s="239"/>
      <c r="O135" s="239"/>
      <c r="P135" s="238"/>
      <c r="Q135" s="238"/>
      <c r="R135" s="239"/>
      <c r="S135" s="239"/>
      <c r="T135" s="23"/>
      <c r="U135" s="256">
        <f t="shared" si="5"/>
        <v>0</v>
      </c>
      <c r="V135" s="257"/>
      <c r="W135"/>
      <c r="X135"/>
    </row>
    <row r="136" spans="1:24" ht="22.5" customHeight="1" x14ac:dyDescent="0.25">
      <c r="A136" s="14">
        <v>116</v>
      </c>
      <c r="B136" s="252"/>
      <c r="C136" s="252"/>
      <c r="D136" s="251"/>
      <c r="E136" s="251"/>
      <c r="F136" s="252"/>
      <c r="G136" s="252"/>
      <c r="H136" s="251"/>
      <c r="I136" s="251"/>
      <c r="J136" s="323">
        <f t="shared" si="4"/>
        <v>0</v>
      </c>
      <c r="K136" s="324"/>
      <c r="L136" s="343"/>
      <c r="M136" s="15">
        <v>116</v>
      </c>
      <c r="N136" s="260"/>
      <c r="O136" s="260"/>
      <c r="P136" s="259"/>
      <c r="Q136" s="259"/>
      <c r="R136" s="260"/>
      <c r="S136" s="260"/>
      <c r="T136" s="24"/>
      <c r="U136" s="340">
        <f t="shared" si="5"/>
        <v>0</v>
      </c>
      <c r="V136" s="341"/>
      <c r="W136"/>
      <c r="X136"/>
    </row>
    <row r="137" spans="1:24" ht="22.5" customHeight="1" x14ac:dyDescent="0.25">
      <c r="A137" s="22">
        <v>117</v>
      </c>
      <c r="B137" s="239"/>
      <c r="C137" s="239"/>
      <c r="D137" s="238"/>
      <c r="E137" s="238"/>
      <c r="F137" s="239"/>
      <c r="G137" s="239"/>
      <c r="H137" s="238"/>
      <c r="I137" s="238"/>
      <c r="J137" s="309">
        <f t="shared" si="4"/>
        <v>0</v>
      </c>
      <c r="K137" s="309"/>
      <c r="L137" s="343"/>
      <c r="M137" s="22">
        <v>117</v>
      </c>
      <c r="N137" s="239"/>
      <c r="O137" s="239"/>
      <c r="P137" s="238"/>
      <c r="Q137" s="238"/>
      <c r="R137" s="239"/>
      <c r="S137" s="239"/>
      <c r="T137" s="23"/>
      <c r="U137" s="256">
        <f t="shared" si="5"/>
        <v>0</v>
      </c>
      <c r="V137" s="257"/>
      <c r="W137"/>
      <c r="X137"/>
    </row>
    <row r="138" spans="1:24" ht="22.5" customHeight="1" x14ac:dyDescent="0.25">
      <c r="A138" s="14">
        <v>118</v>
      </c>
      <c r="B138" s="252"/>
      <c r="C138" s="252"/>
      <c r="D138" s="251"/>
      <c r="E138" s="251"/>
      <c r="F138" s="252"/>
      <c r="G138" s="252"/>
      <c r="H138" s="251"/>
      <c r="I138" s="251"/>
      <c r="J138" s="323">
        <f t="shared" si="4"/>
        <v>0</v>
      </c>
      <c r="K138" s="324"/>
      <c r="L138" s="343"/>
      <c r="M138" s="15">
        <v>118</v>
      </c>
      <c r="N138" s="260"/>
      <c r="O138" s="260"/>
      <c r="P138" s="259"/>
      <c r="Q138" s="259"/>
      <c r="R138" s="260"/>
      <c r="S138" s="260"/>
      <c r="T138" s="24"/>
      <c r="U138" s="340">
        <f t="shared" si="5"/>
        <v>0</v>
      </c>
      <c r="V138" s="341"/>
      <c r="W138"/>
      <c r="X138"/>
    </row>
    <row r="139" spans="1:24" ht="22.5" customHeight="1" x14ac:dyDescent="0.25">
      <c r="A139" s="22">
        <v>119</v>
      </c>
      <c r="B139" s="239"/>
      <c r="C139" s="239"/>
      <c r="D139" s="238"/>
      <c r="E139" s="238"/>
      <c r="F139" s="239"/>
      <c r="G139" s="239"/>
      <c r="H139" s="238"/>
      <c r="I139" s="238"/>
      <c r="J139" s="309">
        <f t="shared" si="4"/>
        <v>0</v>
      </c>
      <c r="K139" s="309"/>
      <c r="L139" s="343"/>
      <c r="M139" s="22">
        <v>119</v>
      </c>
      <c r="N139" s="239"/>
      <c r="O139" s="239"/>
      <c r="P139" s="238"/>
      <c r="Q139" s="238"/>
      <c r="R139" s="239"/>
      <c r="S139" s="239"/>
      <c r="T139" s="23"/>
      <c r="U139" s="256">
        <f t="shared" si="5"/>
        <v>0</v>
      </c>
      <c r="V139" s="257"/>
      <c r="W139"/>
      <c r="X139"/>
    </row>
    <row r="140" spans="1:24" ht="22.5" customHeight="1" x14ac:dyDescent="0.25">
      <c r="A140" s="14">
        <v>120</v>
      </c>
      <c r="B140" s="252"/>
      <c r="C140" s="252"/>
      <c r="D140" s="251"/>
      <c r="E140" s="251"/>
      <c r="F140" s="252"/>
      <c r="G140" s="252"/>
      <c r="H140" s="251"/>
      <c r="I140" s="251"/>
      <c r="J140" s="323">
        <f t="shared" si="4"/>
        <v>0</v>
      </c>
      <c r="K140" s="324"/>
      <c r="L140" s="343"/>
      <c r="M140" s="15">
        <v>120</v>
      </c>
      <c r="N140" s="260"/>
      <c r="O140" s="260"/>
      <c r="P140" s="259"/>
      <c r="Q140" s="259"/>
      <c r="R140" s="260"/>
      <c r="S140" s="260"/>
      <c r="T140" s="24"/>
      <c r="U140" s="340">
        <f t="shared" si="5"/>
        <v>0</v>
      </c>
      <c r="V140" s="341"/>
      <c r="W140"/>
      <c r="X140"/>
    </row>
    <row r="141" spans="1:24" ht="22.5" customHeight="1" x14ac:dyDescent="0.25">
      <c r="A141" s="22">
        <v>121</v>
      </c>
      <c r="B141" s="239"/>
      <c r="C141" s="239"/>
      <c r="D141" s="238"/>
      <c r="E141" s="238"/>
      <c r="F141" s="239"/>
      <c r="G141" s="239"/>
      <c r="H141" s="238"/>
      <c r="I141" s="238"/>
      <c r="J141" s="309">
        <f t="shared" si="4"/>
        <v>0</v>
      </c>
      <c r="K141" s="309"/>
      <c r="L141" s="343"/>
      <c r="M141" s="22">
        <v>121</v>
      </c>
      <c r="N141" s="239"/>
      <c r="O141" s="239"/>
      <c r="P141" s="238"/>
      <c r="Q141" s="238"/>
      <c r="R141" s="239"/>
      <c r="S141" s="239"/>
      <c r="T141" s="23"/>
      <c r="U141" s="256">
        <f t="shared" si="5"/>
        <v>0</v>
      </c>
      <c r="V141" s="257"/>
      <c r="W141"/>
      <c r="X141"/>
    </row>
    <row r="142" spans="1:24" ht="22.5" customHeight="1" x14ac:dyDescent="0.25">
      <c r="A142" s="14">
        <v>122</v>
      </c>
      <c r="B142" s="252"/>
      <c r="C142" s="252"/>
      <c r="D142" s="251"/>
      <c r="E142" s="251"/>
      <c r="F142" s="252"/>
      <c r="G142" s="252"/>
      <c r="H142" s="251"/>
      <c r="I142" s="251"/>
      <c r="J142" s="323">
        <f t="shared" si="4"/>
        <v>0</v>
      </c>
      <c r="K142" s="324"/>
      <c r="L142" s="343"/>
      <c r="M142" s="15">
        <v>122</v>
      </c>
      <c r="N142" s="260"/>
      <c r="O142" s="260"/>
      <c r="P142" s="259"/>
      <c r="Q142" s="259"/>
      <c r="R142" s="260"/>
      <c r="S142" s="260"/>
      <c r="T142" s="24"/>
      <c r="U142" s="340">
        <f t="shared" si="5"/>
        <v>0</v>
      </c>
      <c r="V142" s="341"/>
      <c r="W142"/>
      <c r="X142"/>
    </row>
    <row r="143" spans="1:24" ht="22.5" customHeight="1" x14ac:dyDescent="0.25">
      <c r="A143" s="22">
        <v>123</v>
      </c>
      <c r="B143" s="239"/>
      <c r="C143" s="239"/>
      <c r="D143" s="238"/>
      <c r="E143" s="238"/>
      <c r="F143" s="239"/>
      <c r="G143" s="239"/>
      <c r="H143" s="238"/>
      <c r="I143" s="238"/>
      <c r="J143" s="309">
        <f t="shared" si="4"/>
        <v>0</v>
      </c>
      <c r="K143" s="309"/>
      <c r="L143" s="343"/>
      <c r="M143" s="22">
        <v>123</v>
      </c>
      <c r="N143" s="239"/>
      <c r="O143" s="239"/>
      <c r="P143" s="238"/>
      <c r="Q143" s="238"/>
      <c r="R143" s="239"/>
      <c r="S143" s="239"/>
      <c r="T143" s="23"/>
      <c r="U143" s="256">
        <f t="shared" si="5"/>
        <v>0</v>
      </c>
      <c r="V143" s="257"/>
      <c r="W143"/>
      <c r="X143"/>
    </row>
    <row r="144" spans="1:24" ht="22.5" customHeight="1" x14ac:dyDescent="0.25">
      <c r="A144" s="14">
        <v>124</v>
      </c>
      <c r="B144" s="252"/>
      <c r="C144" s="252"/>
      <c r="D144" s="251"/>
      <c r="E144" s="251"/>
      <c r="F144" s="252"/>
      <c r="G144" s="252"/>
      <c r="H144" s="251"/>
      <c r="I144" s="251"/>
      <c r="J144" s="323">
        <f t="shared" si="4"/>
        <v>0</v>
      </c>
      <c r="K144" s="324"/>
      <c r="L144" s="343"/>
      <c r="M144" s="15">
        <v>124</v>
      </c>
      <c r="N144" s="260"/>
      <c r="O144" s="260"/>
      <c r="P144" s="259"/>
      <c r="Q144" s="259"/>
      <c r="R144" s="260"/>
      <c r="S144" s="260"/>
      <c r="T144" s="24"/>
      <c r="U144" s="340">
        <f t="shared" si="5"/>
        <v>0</v>
      </c>
      <c r="V144" s="341"/>
      <c r="W144"/>
      <c r="X144"/>
    </row>
    <row r="145" spans="1:24" ht="22.5" customHeight="1" x14ac:dyDescent="0.25">
      <c r="A145" s="22">
        <v>125</v>
      </c>
      <c r="B145" s="239"/>
      <c r="C145" s="239"/>
      <c r="D145" s="238"/>
      <c r="E145" s="238"/>
      <c r="F145" s="239"/>
      <c r="G145" s="239"/>
      <c r="H145" s="238"/>
      <c r="I145" s="238"/>
      <c r="J145" s="309">
        <f t="shared" si="4"/>
        <v>0</v>
      </c>
      <c r="K145" s="309"/>
      <c r="L145" s="343"/>
      <c r="M145" s="22">
        <v>125</v>
      </c>
      <c r="N145" s="239"/>
      <c r="O145" s="239"/>
      <c r="P145" s="238"/>
      <c r="Q145" s="238"/>
      <c r="R145" s="239"/>
      <c r="S145" s="239"/>
      <c r="T145" s="23"/>
      <c r="U145" s="256">
        <f t="shared" si="5"/>
        <v>0</v>
      </c>
      <c r="V145" s="257"/>
      <c r="W145"/>
      <c r="X145"/>
    </row>
    <row r="146" spans="1:24" ht="22.5" customHeight="1" x14ac:dyDescent="0.25">
      <c r="A146" s="14">
        <v>126</v>
      </c>
      <c r="B146" s="252"/>
      <c r="C146" s="252"/>
      <c r="D146" s="251"/>
      <c r="E146" s="251"/>
      <c r="F146" s="252"/>
      <c r="G146" s="252"/>
      <c r="H146" s="251"/>
      <c r="I146" s="251"/>
      <c r="J146" s="323">
        <f t="shared" si="4"/>
        <v>0</v>
      </c>
      <c r="K146" s="324"/>
      <c r="L146" s="343"/>
      <c r="M146" s="15">
        <v>126</v>
      </c>
      <c r="N146" s="260"/>
      <c r="O146" s="260"/>
      <c r="P146" s="259"/>
      <c r="Q146" s="259"/>
      <c r="R146" s="260"/>
      <c r="S146" s="260"/>
      <c r="T146" s="24"/>
      <c r="U146" s="340">
        <f t="shared" si="5"/>
        <v>0</v>
      </c>
      <c r="V146" s="341"/>
      <c r="W146"/>
      <c r="X146"/>
    </row>
    <row r="147" spans="1:24" ht="22.5" customHeight="1" x14ac:dyDescent="0.25">
      <c r="A147" s="22">
        <v>127</v>
      </c>
      <c r="B147" s="239"/>
      <c r="C147" s="239"/>
      <c r="D147" s="238"/>
      <c r="E147" s="238"/>
      <c r="F147" s="239"/>
      <c r="G147" s="239"/>
      <c r="H147" s="238"/>
      <c r="I147" s="238"/>
      <c r="J147" s="309">
        <f t="shared" si="4"/>
        <v>0</v>
      </c>
      <c r="K147" s="309"/>
      <c r="L147" s="343"/>
      <c r="M147" s="22">
        <v>127</v>
      </c>
      <c r="N147" s="239"/>
      <c r="O147" s="239"/>
      <c r="P147" s="238"/>
      <c r="Q147" s="238"/>
      <c r="R147" s="239"/>
      <c r="S147" s="239"/>
      <c r="T147" s="23"/>
      <c r="U147" s="256">
        <f t="shared" si="5"/>
        <v>0</v>
      </c>
      <c r="V147" s="257"/>
      <c r="W147"/>
      <c r="X147"/>
    </row>
    <row r="148" spans="1:24" ht="22.5" customHeight="1" x14ac:dyDescent="0.25">
      <c r="A148" s="14">
        <v>128</v>
      </c>
      <c r="B148" s="252"/>
      <c r="C148" s="252"/>
      <c r="D148" s="251"/>
      <c r="E148" s="251"/>
      <c r="F148" s="252"/>
      <c r="G148" s="252"/>
      <c r="H148" s="251"/>
      <c r="I148" s="251"/>
      <c r="J148" s="323">
        <f t="shared" si="4"/>
        <v>0</v>
      </c>
      <c r="K148" s="324"/>
      <c r="L148" s="343"/>
      <c r="M148" s="15">
        <v>128</v>
      </c>
      <c r="N148" s="260"/>
      <c r="O148" s="260"/>
      <c r="P148" s="259"/>
      <c r="Q148" s="259"/>
      <c r="R148" s="260"/>
      <c r="S148" s="260"/>
      <c r="T148" s="24"/>
      <c r="U148" s="340">
        <f t="shared" si="5"/>
        <v>0</v>
      </c>
      <c r="V148" s="341"/>
      <c r="W148"/>
      <c r="X148"/>
    </row>
    <row r="149" spans="1:24" ht="22.5" customHeight="1" x14ac:dyDescent="0.25">
      <c r="A149" s="22">
        <v>129</v>
      </c>
      <c r="B149" s="239"/>
      <c r="C149" s="239"/>
      <c r="D149" s="238"/>
      <c r="E149" s="238"/>
      <c r="F149" s="239"/>
      <c r="G149" s="239"/>
      <c r="H149" s="238"/>
      <c r="I149" s="238"/>
      <c r="J149" s="309">
        <f t="shared" si="4"/>
        <v>0</v>
      </c>
      <c r="K149" s="309"/>
      <c r="L149" s="343"/>
      <c r="M149" s="22">
        <v>129</v>
      </c>
      <c r="N149" s="239"/>
      <c r="O149" s="239"/>
      <c r="P149" s="238"/>
      <c r="Q149" s="238"/>
      <c r="R149" s="239"/>
      <c r="S149" s="239"/>
      <c r="T149" s="23"/>
      <c r="U149" s="256">
        <f t="shared" si="5"/>
        <v>0</v>
      </c>
      <c r="V149" s="257"/>
      <c r="W149"/>
      <c r="X149"/>
    </row>
    <row r="150" spans="1:24" ht="22.5" customHeight="1" x14ac:dyDescent="0.25">
      <c r="A150" s="14">
        <v>130</v>
      </c>
      <c r="B150" s="252"/>
      <c r="C150" s="252"/>
      <c r="D150" s="251"/>
      <c r="E150" s="251"/>
      <c r="F150" s="252"/>
      <c r="G150" s="252"/>
      <c r="H150" s="251"/>
      <c r="I150" s="251"/>
      <c r="J150" s="323">
        <f t="shared" ref="J150:J213" si="6">D150*F150+H150</f>
        <v>0</v>
      </c>
      <c r="K150" s="324"/>
      <c r="L150" s="343"/>
      <c r="M150" s="15">
        <v>130</v>
      </c>
      <c r="N150" s="260"/>
      <c r="O150" s="260"/>
      <c r="P150" s="259"/>
      <c r="Q150" s="259"/>
      <c r="R150" s="260"/>
      <c r="S150" s="260"/>
      <c r="T150" s="24"/>
      <c r="U150" s="340">
        <f t="shared" si="5"/>
        <v>0</v>
      </c>
      <c r="V150" s="341"/>
      <c r="W150"/>
      <c r="X150"/>
    </row>
    <row r="151" spans="1:24" ht="22.5" customHeight="1" x14ac:dyDescent="0.25">
      <c r="A151" s="22">
        <v>131</v>
      </c>
      <c r="B151" s="239"/>
      <c r="C151" s="239"/>
      <c r="D151" s="238"/>
      <c r="E151" s="238"/>
      <c r="F151" s="239"/>
      <c r="G151" s="239"/>
      <c r="H151" s="238"/>
      <c r="I151" s="238"/>
      <c r="J151" s="309">
        <f t="shared" si="6"/>
        <v>0</v>
      </c>
      <c r="K151" s="309"/>
      <c r="L151" s="343"/>
      <c r="M151" s="22">
        <v>131</v>
      </c>
      <c r="N151" s="239"/>
      <c r="O151" s="239"/>
      <c r="P151" s="238"/>
      <c r="Q151" s="238"/>
      <c r="R151" s="239"/>
      <c r="S151" s="239"/>
      <c r="T151" s="23"/>
      <c r="U151" s="256">
        <f t="shared" ref="U151:U170" si="7">P151+R151</f>
        <v>0</v>
      </c>
      <c r="V151" s="257"/>
      <c r="W151"/>
      <c r="X151"/>
    </row>
    <row r="152" spans="1:24" ht="22.5" customHeight="1" x14ac:dyDescent="0.25">
      <c r="A152" s="14">
        <v>132</v>
      </c>
      <c r="B152" s="252"/>
      <c r="C152" s="252"/>
      <c r="D152" s="251"/>
      <c r="E152" s="251"/>
      <c r="F152" s="252"/>
      <c r="G152" s="252"/>
      <c r="H152" s="251"/>
      <c r="I152" s="251"/>
      <c r="J152" s="323">
        <f t="shared" si="6"/>
        <v>0</v>
      </c>
      <c r="K152" s="324"/>
      <c r="L152" s="343"/>
      <c r="M152" s="15">
        <v>132</v>
      </c>
      <c r="N152" s="260"/>
      <c r="O152" s="260"/>
      <c r="P152" s="259"/>
      <c r="Q152" s="259"/>
      <c r="R152" s="260"/>
      <c r="S152" s="260"/>
      <c r="T152" s="24"/>
      <c r="U152" s="340">
        <f t="shared" si="7"/>
        <v>0</v>
      </c>
      <c r="V152" s="341"/>
      <c r="W152"/>
      <c r="X152"/>
    </row>
    <row r="153" spans="1:24" ht="22.5" customHeight="1" x14ac:dyDescent="0.25">
      <c r="A153" s="22">
        <v>133</v>
      </c>
      <c r="B153" s="239"/>
      <c r="C153" s="239"/>
      <c r="D153" s="238"/>
      <c r="E153" s="238"/>
      <c r="F153" s="239"/>
      <c r="G153" s="239"/>
      <c r="H153" s="238"/>
      <c r="I153" s="238"/>
      <c r="J153" s="309">
        <f t="shared" si="6"/>
        <v>0</v>
      </c>
      <c r="K153" s="309"/>
      <c r="L153" s="343"/>
      <c r="M153" s="22">
        <v>133</v>
      </c>
      <c r="N153" s="239"/>
      <c r="O153" s="239"/>
      <c r="P153" s="238"/>
      <c r="Q153" s="238"/>
      <c r="R153" s="239"/>
      <c r="S153" s="239"/>
      <c r="T153" s="23"/>
      <c r="U153" s="256">
        <f t="shared" si="7"/>
        <v>0</v>
      </c>
      <c r="V153" s="257"/>
      <c r="W153"/>
      <c r="X153"/>
    </row>
    <row r="154" spans="1:24" ht="22.5" customHeight="1" x14ac:dyDescent="0.25">
      <c r="A154" s="14">
        <v>134</v>
      </c>
      <c r="B154" s="252"/>
      <c r="C154" s="252"/>
      <c r="D154" s="251"/>
      <c r="E154" s="251"/>
      <c r="F154" s="252"/>
      <c r="G154" s="252"/>
      <c r="H154" s="251"/>
      <c r="I154" s="251"/>
      <c r="J154" s="323">
        <f t="shared" si="6"/>
        <v>0</v>
      </c>
      <c r="K154" s="324"/>
      <c r="L154" s="343"/>
      <c r="M154" s="15">
        <v>134</v>
      </c>
      <c r="N154" s="260"/>
      <c r="O154" s="260"/>
      <c r="P154" s="259"/>
      <c r="Q154" s="259"/>
      <c r="R154" s="260"/>
      <c r="S154" s="260"/>
      <c r="T154" s="24"/>
      <c r="U154" s="340">
        <f t="shared" si="7"/>
        <v>0</v>
      </c>
      <c r="V154" s="341"/>
      <c r="W154"/>
      <c r="X154"/>
    </row>
    <row r="155" spans="1:24" ht="22.5" customHeight="1" x14ac:dyDescent="0.25">
      <c r="A155" s="22">
        <v>135</v>
      </c>
      <c r="B155" s="239"/>
      <c r="C155" s="239"/>
      <c r="D155" s="238"/>
      <c r="E155" s="238"/>
      <c r="F155" s="239"/>
      <c r="G155" s="239"/>
      <c r="H155" s="238"/>
      <c r="I155" s="238"/>
      <c r="J155" s="309">
        <f t="shared" si="6"/>
        <v>0</v>
      </c>
      <c r="K155" s="309"/>
      <c r="L155" s="343"/>
      <c r="M155" s="22">
        <v>135</v>
      </c>
      <c r="N155" s="239"/>
      <c r="O155" s="239"/>
      <c r="P155" s="238"/>
      <c r="Q155" s="238"/>
      <c r="R155" s="239"/>
      <c r="S155" s="239"/>
      <c r="T155" s="23"/>
      <c r="U155" s="256">
        <f t="shared" si="7"/>
        <v>0</v>
      </c>
      <c r="V155" s="257"/>
      <c r="W155"/>
      <c r="X155"/>
    </row>
    <row r="156" spans="1:24" ht="22.5" customHeight="1" x14ac:dyDescent="0.25">
      <c r="A156" s="14">
        <v>136</v>
      </c>
      <c r="B156" s="252"/>
      <c r="C156" s="252"/>
      <c r="D156" s="251"/>
      <c r="E156" s="251"/>
      <c r="F156" s="252"/>
      <c r="G156" s="252"/>
      <c r="H156" s="251"/>
      <c r="I156" s="251"/>
      <c r="J156" s="323">
        <f t="shared" si="6"/>
        <v>0</v>
      </c>
      <c r="K156" s="324"/>
      <c r="L156" s="343"/>
      <c r="M156" s="15">
        <v>136</v>
      </c>
      <c r="N156" s="260"/>
      <c r="O156" s="260"/>
      <c r="P156" s="259"/>
      <c r="Q156" s="259"/>
      <c r="R156" s="260"/>
      <c r="S156" s="260"/>
      <c r="T156" s="24"/>
      <c r="U156" s="340">
        <f t="shared" si="7"/>
        <v>0</v>
      </c>
      <c r="V156" s="341"/>
      <c r="W156"/>
      <c r="X156"/>
    </row>
    <row r="157" spans="1:24" ht="22.5" customHeight="1" x14ac:dyDescent="0.25">
      <c r="A157" s="22">
        <v>137</v>
      </c>
      <c r="B157" s="239"/>
      <c r="C157" s="239"/>
      <c r="D157" s="238"/>
      <c r="E157" s="238"/>
      <c r="F157" s="239"/>
      <c r="G157" s="239"/>
      <c r="H157" s="238"/>
      <c r="I157" s="238"/>
      <c r="J157" s="309">
        <f t="shared" si="6"/>
        <v>0</v>
      </c>
      <c r="K157" s="309"/>
      <c r="L157" s="343"/>
      <c r="M157" s="22">
        <v>137</v>
      </c>
      <c r="N157" s="239"/>
      <c r="O157" s="239"/>
      <c r="P157" s="238"/>
      <c r="Q157" s="238"/>
      <c r="R157" s="239"/>
      <c r="S157" s="239"/>
      <c r="T157" s="23"/>
      <c r="U157" s="256">
        <f t="shared" si="7"/>
        <v>0</v>
      </c>
      <c r="V157" s="257"/>
      <c r="W157"/>
      <c r="X157"/>
    </row>
    <row r="158" spans="1:24" ht="22.5" customHeight="1" x14ac:dyDescent="0.25">
      <c r="A158" s="14">
        <v>138</v>
      </c>
      <c r="B158" s="252"/>
      <c r="C158" s="252"/>
      <c r="D158" s="251"/>
      <c r="E158" s="251"/>
      <c r="F158" s="252"/>
      <c r="G158" s="252"/>
      <c r="H158" s="251"/>
      <c r="I158" s="251"/>
      <c r="J158" s="323">
        <f t="shared" si="6"/>
        <v>0</v>
      </c>
      <c r="K158" s="324"/>
      <c r="L158" s="343"/>
      <c r="M158" s="15">
        <v>138</v>
      </c>
      <c r="N158" s="260"/>
      <c r="O158" s="260"/>
      <c r="P158" s="259"/>
      <c r="Q158" s="259"/>
      <c r="R158" s="260"/>
      <c r="S158" s="260"/>
      <c r="T158" s="24"/>
      <c r="U158" s="340">
        <f t="shared" si="7"/>
        <v>0</v>
      </c>
      <c r="V158" s="341"/>
      <c r="W158"/>
      <c r="X158"/>
    </row>
    <row r="159" spans="1:24" ht="22.5" customHeight="1" x14ac:dyDescent="0.25">
      <c r="A159" s="22">
        <v>139</v>
      </c>
      <c r="B159" s="239"/>
      <c r="C159" s="239"/>
      <c r="D159" s="238"/>
      <c r="E159" s="238"/>
      <c r="F159" s="239"/>
      <c r="G159" s="239"/>
      <c r="H159" s="238"/>
      <c r="I159" s="238"/>
      <c r="J159" s="309">
        <f t="shared" si="6"/>
        <v>0</v>
      </c>
      <c r="K159" s="309"/>
      <c r="L159" s="343"/>
      <c r="M159" s="22">
        <v>139</v>
      </c>
      <c r="N159" s="239"/>
      <c r="O159" s="239"/>
      <c r="P159" s="238"/>
      <c r="Q159" s="238"/>
      <c r="R159" s="239"/>
      <c r="S159" s="239"/>
      <c r="T159" s="23"/>
      <c r="U159" s="256">
        <f t="shared" si="7"/>
        <v>0</v>
      </c>
      <c r="V159" s="257"/>
      <c r="W159"/>
      <c r="X159"/>
    </row>
    <row r="160" spans="1:24" ht="22.5" customHeight="1" x14ac:dyDescent="0.25">
      <c r="A160" s="14">
        <v>140</v>
      </c>
      <c r="B160" s="252"/>
      <c r="C160" s="252"/>
      <c r="D160" s="251"/>
      <c r="E160" s="251"/>
      <c r="F160" s="252"/>
      <c r="G160" s="252"/>
      <c r="H160" s="251"/>
      <c r="I160" s="251"/>
      <c r="J160" s="323">
        <f t="shared" si="6"/>
        <v>0</v>
      </c>
      <c r="K160" s="324"/>
      <c r="L160" s="343"/>
      <c r="M160" s="15">
        <v>140</v>
      </c>
      <c r="N160" s="260"/>
      <c r="O160" s="260"/>
      <c r="P160" s="259"/>
      <c r="Q160" s="259"/>
      <c r="R160" s="260"/>
      <c r="S160" s="260"/>
      <c r="T160" s="24"/>
      <c r="U160" s="340">
        <f t="shared" si="7"/>
        <v>0</v>
      </c>
      <c r="V160" s="341"/>
      <c r="W160"/>
      <c r="X160"/>
    </row>
    <row r="161" spans="1:24" ht="22.5" customHeight="1" x14ac:dyDescent="0.25">
      <c r="A161" s="22">
        <v>141</v>
      </c>
      <c r="B161" s="239"/>
      <c r="C161" s="239"/>
      <c r="D161" s="238"/>
      <c r="E161" s="238"/>
      <c r="F161" s="239"/>
      <c r="G161" s="239"/>
      <c r="H161" s="238"/>
      <c r="I161" s="238"/>
      <c r="J161" s="309">
        <f t="shared" si="6"/>
        <v>0</v>
      </c>
      <c r="K161" s="309"/>
      <c r="L161" s="343"/>
      <c r="M161" s="22">
        <v>141</v>
      </c>
      <c r="N161" s="239"/>
      <c r="O161" s="239"/>
      <c r="P161" s="238"/>
      <c r="Q161" s="238"/>
      <c r="R161" s="239"/>
      <c r="S161" s="239"/>
      <c r="T161" s="23"/>
      <c r="U161" s="256">
        <f t="shared" si="7"/>
        <v>0</v>
      </c>
      <c r="V161" s="257"/>
      <c r="W161"/>
      <c r="X161"/>
    </row>
    <row r="162" spans="1:24" ht="22.5" customHeight="1" x14ac:dyDescent="0.25">
      <c r="A162" s="14">
        <v>142</v>
      </c>
      <c r="B162" s="252"/>
      <c r="C162" s="252"/>
      <c r="D162" s="251"/>
      <c r="E162" s="251"/>
      <c r="F162" s="252"/>
      <c r="G162" s="252"/>
      <c r="H162" s="251"/>
      <c r="I162" s="251"/>
      <c r="J162" s="323">
        <f t="shared" si="6"/>
        <v>0</v>
      </c>
      <c r="K162" s="324"/>
      <c r="L162" s="343"/>
      <c r="M162" s="15">
        <v>142</v>
      </c>
      <c r="N162" s="260"/>
      <c r="O162" s="260"/>
      <c r="P162" s="259"/>
      <c r="Q162" s="259"/>
      <c r="R162" s="260"/>
      <c r="S162" s="260"/>
      <c r="T162" s="24"/>
      <c r="U162" s="340">
        <f t="shared" si="7"/>
        <v>0</v>
      </c>
      <c r="V162" s="341"/>
      <c r="W162"/>
      <c r="X162"/>
    </row>
    <row r="163" spans="1:24" ht="22.5" customHeight="1" x14ac:dyDescent="0.25">
      <c r="A163" s="22">
        <v>143</v>
      </c>
      <c r="B163" s="239"/>
      <c r="C163" s="239"/>
      <c r="D163" s="238"/>
      <c r="E163" s="238"/>
      <c r="F163" s="239"/>
      <c r="G163" s="239"/>
      <c r="H163" s="238"/>
      <c r="I163" s="238"/>
      <c r="J163" s="309">
        <f t="shared" si="6"/>
        <v>0</v>
      </c>
      <c r="K163" s="309"/>
      <c r="L163" s="343"/>
      <c r="M163" s="22">
        <v>143</v>
      </c>
      <c r="N163" s="239"/>
      <c r="O163" s="239"/>
      <c r="P163" s="238"/>
      <c r="Q163" s="238"/>
      <c r="R163" s="239"/>
      <c r="S163" s="239"/>
      <c r="T163" s="23"/>
      <c r="U163" s="256">
        <f t="shared" si="7"/>
        <v>0</v>
      </c>
      <c r="V163" s="257"/>
      <c r="W163"/>
      <c r="X163"/>
    </row>
    <row r="164" spans="1:24" ht="22.5" customHeight="1" x14ac:dyDescent="0.25">
      <c r="A164" s="14">
        <v>144</v>
      </c>
      <c r="B164" s="252"/>
      <c r="C164" s="252"/>
      <c r="D164" s="251"/>
      <c r="E164" s="251"/>
      <c r="F164" s="252"/>
      <c r="G164" s="252"/>
      <c r="H164" s="251"/>
      <c r="I164" s="251"/>
      <c r="J164" s="323">
        <f t="shared" si="6"/>
        <v>0</v>
      </c>
      <c r="K164" s="324"/>
      <c r="L164" s="343"/>
      <c r="M164" s="15">
        <v>144</v>
      </c>
      <c r="N164" s="260"/>
      <c r="O164" s="260"/>
      <c r="P164" s="259"/>
      <c r="Q164" s="259"/>
      <c r="R164" s="260"/>
      <c r="S164" s="260"/>
      <c r="T164" s="24"/>
      <c r="U164" s="340">
        <f t="shared" si="7"/>
        <v>0</v>
      </c>
      <c r="V164" s="341"/>
      <c r="W164"/>
      <c r="X164"/>
    </row>
    <row r="165" spans="1:24" ht="22.5" customHeight="1" x14ac:dyDescent="0.25">
      <c r="A165" s="22">
        <v>145</v>
      </c>
      <c r="B165" s="239"/>
      <c r="C165" s="239"/>
      <c r="D165" s="238"/>
      <c r="E165" s="238"/>
      <c r="F165" s="239"/>
      <c r="G165" s="239"/>
      <c r="H165" s="238"/>
      <c r="I165" s="238"/>
      <c r="J165" s="309">
        <f t="shared" si="6"/>
        <v>0</v>
      </c>
      <c r="K165" s="309"/>
      <c r="L165" s="343"/>
      <c r="M165" s="22">
        <v>145</v>
      </c>
      <c r="N165" s="239"/>
      <c r="O165" s="239"/>
      <c r="P165" s="238"/>
      <c r="Q165" s="238"/>
      <c r="R165" s="239"/>
      <c r="S165" s="239"/>
      <c r="T165" s="23"/>
      <c r="U165" s="256">
        <f t="shared" si="7"/>
        <v>0</v>
      </c>
      <c r="V165" s="257"/>
      <c r="W165"/>
      <c r="X165"/>
    </row>
    <row r="166" spans="1:24" ht="22.5" customHeight="1" x14ac:dyDescent="0.25">
      <c r="A166" s="14">
        <v>146</v>
      </c>
      <c r="B166" s="252"/>
      <c r="C166" s="252"/>
      <c r="D166" s="251"/>
      <c r="E166" s="251"/>
      <c r="F166" s="252"/>
      <c r="G166" s="252"/>
      <c r="H166" s="251"/>
      <c r="I166" s="251"/>
      <c r="J166" s="323">
        <f t="shared" si="6"/>
        <v>0</v>
      </c>
      <c r="K166" s="324"/>
      <c r="L166" s="343"/>
      <c r="M166" s="15">
        <v>146</v>
      </c>
      <c r="N166" s="260"/>
      <c r="O166" s="260"/>
      <c r="P166" s="259"/>
      <c r="Q166" s="259"/>
      <c r="R166" s="260"/>
      <c r="S166" s="260"/>
      <c r="T166" s="24"/>
      <c r="U166" s="340">
        <f t="shared" si="7"/>
        <v>0</v>
      </c>
      <c r="V166" s="341"/>
      <c r="W166"/>
      <c r="X166"/>
    </row>
    <row r="167" spans="1:24" ht="22.5" customHeight="1" x14ac:dyDescent="0.25">
      <c r="A167" s="22">
        <v>147</v>
      </c>
      <c r="B167" s="239"/>
      <c r="C167" s="239"/>
      <c r="D167" s="238"/>
      <c r="E167" s="238"/>
      <c r="F167" s="239"/>
      <c r="G167" s="239"/>
      <c r="H167" s="238"/>
      <c r="I167" s="238"/>
      <c r="J167" s="309">
        <f t="shared" si="6"/>
        <v>0</v>
      </c>
      <c r="K167" s="309"/>
      <c r="L167" s="343"/>
      <c r="M167" s="22">
        <v>147</v>
      </c>
      <c r="N167" s="239"/>
      <c r="O167" s="239"/>
      <c r="P167" s="238"/>
      <c r="Q167" s="238"/>
      <c r="R167" s="239"/>
      <c r="S167" s="239"/>
      <c r="T167" s="23"/>
      <c r="U167" s="256">
        <f t="shared" si="7"/>
        <v>0</v>
      </c>
      <c r="V167" s="257"/>
      <c r="W167"/>
      <c r="X167"/>
    </row>
    <row r="168" spans="1:24" ht="22.5" customHeight="1" x14ac:dyDescent="0.25">
      <c r="A168" s="14">
        <v>148</v>
      </c>
      <c r="B168" s="252"/>
      <c r="C168" s="252"/>
      <c r="D168" s="251"/>
      <c r="E168" s="251"/>
      <c r="F168" s="252"/>
      <c r="G168" s="252"/>
      <c r="H168" s="251"/>
      <c r="I168" s="251"/>
      <c r="J168" s="323">
        <f t="shared" si="6"/>
        <v>0</v>
      </c>
      <c r="K168" s="324"/>
      <c r="L168" s="343"/>
      <c r="M168" s="15">
        <v>148</v>
      </c>
      <c r="N168" s="260"/>
      <c r="O168" s="260"/>
      <c r="P168" s="259"/>
      <c r="Q168" s="259"/>
      <c r="R168" s="260"/>
      <c r="S168" s="260"/>
      <c r="T168" s="24"/>
      <c r="U168" s="340">
        <f t="shared" si="7"/>
        <v>0</v>
      </c>
      <c r="V168" s="341"/>
      <c r="W168"/>
      <c r="X168"/>
    </row>
    <row r="169" spans="1:24" ht="22.5" customHeight="1" x14ac:dyDescent="0.25">
      <c r="A169" s="22">
        <v>149</v>
      </c>
      <c r="B169" s="239"/>
      <c r="C169" s="239"/>
      <c r="D169" s="238"/>
      <c r="E169" s="238"/>
      <c r="F169" s="239"/>
      <c r="G169" s="239"/>
      <c r="H169" s="238"/>
      <c r="I169" s="238"/>
      <c r="J169" s="309">
        <f t="shared" si="6"/>
        <v>0</v>
      </c>
      <c r="K169" s="309"/>
      <c r="L169" s="343"/>
      <c r="M169" s="22">
        <v>149</v>
      </c>
      <c r="N169" s="239"/>
      <c r="O169" s="239"/>
      <c r="P169" s="238"/>
      <c r="Q169" s="238"/>
      <c r="R169" s="239"/>
      <c r="S169" s="239"/>
      <c r="T169" s="23"/>
      <c r="U169" s="256">
        <f t="shared" si="7"/>
        <v>0</v>
      </c>
      <c r="V169" s="257"/>
      <c r="W169"/>
      <c r="X169"/>
    </row>
    <row r="170" spans="1:24" ht="22.5" customHeight="1" x14ac:dyDescent="0.25">
      <c r="A170" s="14">
        <v>150</v>
      </c>
      <c r="B170" s="252"/>
      <c r="C170" s="252"/>
      <c r="D170" s="251"/>
      <c r="E170" s="251"/>
      <c r="F170" s="252"/>
      <c r="G170" s="252"/>
      <c r="H170" s="251"/>
      <c r="I170" s="251"/>
      <c r="J170" s="323">
        <f t="shared" si="6"/>
        <v>0</v>
      </c>
      <c r="K170" s="324"/>
      <c r="L170" s="343"/>
      <c r="M170" s="15">
        <v>150</v>
      </c>
      <c r="N170" s="260"/>
      <c r="O170" s="260"/>
      <c r="P170" s="259"/>
      <c r="Q170" s="259"/>
      <c r="R170" s="260"/>
      <c r="S170" s="260"/>
      <c r="T170" s="24"/>
      <c r="U170" s="340">
        <f t="shared" si="7"/>
        <v>0</v>
      </c>
      <c r="V170" s="341"/>
      <c r="W170"/>
      <c r="X170"/>
    </row>
    <row r="171" spans="1:24" ht="22.5" customHeight="1" x14ac:dyDescent="0.25">
      <c r="A171" s="22">
        <v>151</v>
      </c>
      <c r="B171" s="239"/>
      <c r="C171" s="239"/>
      <c r="D171" s="238"/>
      <c r="E171" s="238"/>
      <c r="F171" s="239"/>
      <c r="G171" s="239"/>
      <c r="H171" s="238"/>
      <c r="I171" s="238"/>
      <c r="J171" s="309">
        <f t="shared" si="6"/>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6"/>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6"/>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6"/>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6"/>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6"/>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6"/>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6"/>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6"/>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6"/>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6"/>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6"/>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6"/>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6"/>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6"/>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6"/>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6"/>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6"/>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6"/>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6"/>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6"/>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6"/>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6"/>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6"/>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6"/>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6"/>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6"/>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6"/>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6"/>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6"/>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6"/>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6"/>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6"/>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6"/>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6"/>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6"/>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6"/>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6"/>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6"/>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6"/>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6"/>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6"/>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6"/>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8">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8"/>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8"/>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8"/>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8"/>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8"/>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8"/>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2gbf/rasIOn63Gt7tXIOps+uyfc5oRHO3xAUXSXx6mMK23MZBfxAZ9vuaeeTce4mEtttmPvtyLmJGYiCGUfDeQ==" saltValue="gLsR3cs/ixETHBNKAFNf+Q=="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{75FCBC67-A2CF-41A1-B36D-3F8E3A7C576F}</x14:id>
        </ext>
      </extLst>
    </cfRule>
  </conditionalFormatting>
  <conditionalFormatting sqref="U10:X11">
    <cfRule type="cellIs" dxfId="51" priority="3" operator="greaterThan">
      <formula>0</formula>
    </cfRule>
    <cfRule type="cellIs" dxfId="50" priority="4" operator="lessThan">
      <formula>0</formula>
    </cfRule>
  </conditionalFormatting>
  <conditionalFormatting sqref="F10:H11">
    <cfRule type="cellIs" dxfId="49" priority="1" operator="greaterThan">
      <formula>0</formula>
    </cfRule>
    <cfRule type="cellIs" dxfId="48"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75FCBC67-A2CF-41A1-B36D-3F8E3A7C576F}">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5"/>
  <dimension ref="A1:AA263"/>
  <sheetViews>
    <sheetView showGridLines="0" zoomScale="70" zoomScaleNormal="70" workbookViewId="0">
      <selection activeCell="B31" sqref="B31:C31"/>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765</v>
      </c>
      <c r="B1" s="262"/>
      <c r="C1" s="313" t="str">
        <f>'Hisse İsimleri'!B5</f>
        <v>ISDMR</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545</v>
      </c>
      <c r="G4" s="271"/>
      <c r="H4" s="272"/>
      <c r="I4" s="267" t="s">
        <v>13</v>
      </c>
      <c r="J4" s="268"/>
      <c r="K4" s="268"/>
      <c r="L4" s="268"/>
      <c r="M4" s="268"/>
      <c r="N4" s="275" t="e">
        <f>AVERAGE(T21:T170)</f>
        <v>#DIV/0!</v>
      </c>
      <c r="O4" s="275"/>
      <c r="P4" s="276"/>
      <c r="Q4" s="267" t="s">
        <v>673</v>
      </c>
      <c r="R4" s="268"/>
      <c r="S4" s="268"/>
      <c r="T4" s="268"/>
      <c r="U4" s="279">
        <f>F8*F4</f>
        <v>19729</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5000</v>
      </c>
      <c r="G6" s="208"/>
      <c r="H6" s="209"/>
      <c r="I6" s="269" t="s">
        <v>674</v>
      </c>
      <c r="J6" s="270"/>
      <c r="K6" s="270"/>
      <c r="L6" s="270"/>
      <c r="M6" s="270"/>
      <c r="N6" s="282">
        <f>U6/F4</f>
        <v>27.777076293577984</v>
      </c>
      <c r="O6" s="282"/>
      <c r="P6" s="284"/>
      <c r="Q6" s="269" t="s">
        <v>675</v>
      </c>
      <c r="R6" s="270"/>
      <c r="S6" s="270"/>
      <c r="T6" s="270"/>
      <c r="U6" s="282">
        <f>SUM(J21:K220)-SUM(U21:U170)</f>
        <v>15138.506580000001</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İsimleri'!D5</f>
        <v>36.200000000000003</v>
      </c>
      <c r="G8" s="282"/>
      <c r="H8" s="284"/>
      <c r="I8" s="269" t="s">
        <v>677</v>
      </c>
      <c r="J8" s="270"/>
      <c r="K8" s="270"/>
      <c r="L8" s="270"/>
      <c r="M8" s="270"/>
      <c r="N8" s="282">
        <f>SUM(U21:U170)</f>
        <v>0</v>
      </c>
      <c r="O8" s="282"/>
      <c r="P8" s="284"/>
      <c r="Q8" s="295" t="s">
        <v>678</v>
      </c>
      <c r="R8" s="296"/>
      <c r="S8" s="296"/>
      <c r="T8" s="297"/>
      <c r="U8" s="301">
        <f>SUM(H21:I220)</f>
        <v>30.216580000000004</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İsimleri'!E5</f>
        <v>-2.7900000000000001E-2</v>
      </c>
      <c r="G10" s="287"/>
      <c r="H10" s="288"/>
      <c r="I10" s="269" t="s">
        <v>710</v>
      </c>
      <c r="J10" s="270"/>
      <c r="K10" s="270"/>
      <c r="L10" s="270"/>
      <c r="M10" s="270"/>
      <c r="N10" s="291">
        <f>U10/U6</f>
        <v>0.30323291110264844</v>
      </c>
      <c r="O10" s="291"/>
      <c r="P10" s="292"/>
      <c r="Q10" s="295" t="s">
        <v>587</v>
      </c>
      <c r="R10" s="296"/>
      <c r="S10" s="296"/>
      <c r="T10" s="297"/>
      <c r="U10" s="301">
        <f>U4-U6</f>
        <v>4590.4934199999989</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10.9</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27.08</v>
      </c>
      <c r="E21" s="238"/>
      <c r="F21" s="239">
        <v>50</v>
      </c>
      <c r="G21" s="239"/>
      <c r="H21" s="307">
        <f t="shared" ref="H21:H30" si="0">(D21*F21)*(2/1000)</f>
        <v>2.7080000000000002</v>
      </c>
      <c r="I21" s="308"/>
      <c r="J21" s="309">
        <f>D21*F21+H21</f>
        <v>1356.7080000000001</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0">
        <v>44682</v>
      </c>
      <c r="C22" s="252"/>
      <c r="D22" s="251">
        <v>27.64</v>
      </c>
      <c r="E22" s="251"/>
      <c r="F22" s="252">
        <v>29</v>
      </c>
      <c r="G22" s="252"/>
      <c r="H22" s="251">
        <f t="shared" si="0"/>
        <v>1.6031200000000001</v>
      </c>
      <c r="I22" s="251"/>
      <c r="J22" s="323">
        <f t="shared" ref="J22:J85" si="1">D22*F22+H22</f>
        <v>803.16312000000005</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25.63</v>
      </c>
      <c r="E23" s="238"/>
      <c r="F23" s="239">
        <v>131</v>
      </c>
      <c r="G23" s="239"/>
      <c r="H23" s="307">
        <f t="shared" si="0"/>
        <v>6.7150599999999994</v>
      </c>
      <c r="I23" s="308"/>
      <c r="J23" s="309">
        <f t="shared" si="1"/>
        <v>3364.2450599999997</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23.7</v>
      </c>
      <c r="E24" s="251"/>
      <c r="F24" s="252">
        <v>10</v>
      </c>
      <c r="G24" s="252"/>
      <c r="H24" s="251">
        <f t="shared" si="0"/>
        <v>0.47400000000000003</v>
      </c>
      <c r="I24" s="251"/>
      <c r="J24" s="323">
        <f t="shared" si="1"/>
        <v>237.47399999999999</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23.8</v>
      </c>
      <c r="E25" s="238"/>
      <c r="F25" s="239">
        <v>35</v>
      </c>
      <c r="G25" s="239"/>
      <c r="H25" s="307">
        <f t="shared" si="0"/>
        <v>1.6659999999999999</v>
      </c>
      <c r="I25" s="308"/>
      <c r="J25" s="309">
        <f t="shared" si="1"/>
        <v>834.66600000000005</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25.8</v>
      </c>
      <c r="E26" s="251"/>
      <c r="F26" s="252">
        <v>45</v>
      </c>
      <c r="G26" s="252"/>
      <c r="H26" s="251">
        <f t="shared" si="0"/>
        <v>2.3220000000000001</v>
      </c>
      <c r="I26" s="251"/>
      <c r="J26" s="323">
        <f t="shared" si="1"/>
        <v>1163.3219999999999</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26</v>
      </c>
      <c r="E27" s="238"/>
      <c r="F27" s="239">
        <v>50</v>
      </c>
      <c r="G27" s="239"/>
      <c r="H27" s="307">
        <f t="shared" si="0"/>
        <v>2.6</v>
      </c>
      <c r="I27" s="308"/>
      <c r="J27" s="309">
        <f t="shared" si="1"/>
        <v>1302.5999999999999</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25.48</v>
      </c>
      <c r="E28" s="251"/>
      <c r="F28" s="252">
        <v>30</v>
      </c>
      <c r="G28" s="252"/>
      <c r="H28" s="251">
        <f t="shared" si="0"/>
        <v>1.5287999999999999</v>
      </c>
      <c r="I28" s="251"/>
      <c r="J28" s="323">
        <f t="shared" si="1"/>
        <v>765.92880000000002</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32.840000000000003</v>
      </c>
      <c r="E29" s="238"/>
      <c r="F29" s="239">
        <v>55</v>
      </c>
      <c r="G29" s="239"/>
      <c r="H29" s="307">
        <f t="shared" si="0"/>
        <v>3.6124000000000005</v>
      </c>
      <c r="I29" s="308"/>
      <c r="J29" s="309">
        <f t="shared" si="1"/>
        <v>1809.8124000000003</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31.76</v>
      </c>
      <c r="E30" s="251"/>
      <c r="F30" s="252">
        <v>110</v>
      </c>
      <c r="G30" s="252"/>
      <c r="H30" s="251">
        <f t="shared" si="0"/>
        <v>6.9872000000000005</v>
      </c>
      <c r="I30" s="251"/>
      <c r="J30" s="323">
        <f t="shared" si="1"/>
        <v>3500.5872000000004</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0</v>
      </c>
      <c r="E31" s="238"/>
      <c r="F31" s="239">
        <v>0</v>
      </c>
      <c r="G31" s="239"/>
      <c r="H31" s="238">
        <f t="shared" ref="H31" si="3">(D31*F31)*(2/1000)</f>
        <v>0</v>
      </c>
      <c r="I31" s="238"/>
      <c r="J31" s="309">
        <f t="shared" si="1"/>
        <v>0</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2"/>
      <c r="C32" s="252"/>
      <c r="D32" s="251"/>
      <c r="E32" s="251"/>
      <c r="F32" s="252"/>
      <c r="G32" s="252"/>
      <c r="H32" s="251"/>
      <c r="I32" s="251"/>
      <c r="J32" s="323">
        <f t="shared" si="1"/>
        <v>0</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4">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38"/>
      <c r="I87" s="238"/>
      <c r="J87" s="309">
        <f t="shared" si="4"/>
        <v>0</v>
      </c>
      <c r="K87" s="309"/>
      <c r="L87" s="343"/>
      <c r="M87" s="22">
        <v>67</v>
      </c>
      <c r="N87" s="239"/>
      <c r="O87" s="239"/>
      <c r="P87" s="238"/>
      <c r="Q87" s="238"/>
      <c r="R87" s="239"/>
      <c r="S87" s="239"/>
      <c r="T87" s="23"/>
      <c r="U87" s="256">
        <f t="shared" ref="U87:U150" si="5">P87+R87</f>
        <v>0</v>
      </c>
      <c r="V87" s="257"/>
      <c r="W87"/>
      <c r="X87"/>
    </row>
    <row r="88" spans="1:24" ht="22.5" customHeight="1" x14ac:dyDescent="0.25">
      <c r="A88" s="14">
        <v>68</v>
      </c>
      <c r="B88" s="252"/>
      <c r="C88" s="252"/>
      <c r="D88" s="251"/>
      <c r="E88" s="251"/>
      <c r="F88" s="252"/>
      <c r="G88" s="252"/>
      <c r="H88" s="251"/>
      <c r="I88" s="251"/>
      <c r="J88" s="323">
        <f t="shared" si="4"/>
        <v>0</v>
      </c>
      <c r="K88" s="324"/>
      <c r="L88" s="343"/>
      <c r="M88" s="15">
        <v>68</v>
      </c>
      <c r="N88" s="260"/>
      <c r="O88" s="260"/>
      <c r="P88" s="259"/>
      <c r="Q88" s="259"/>
      <c r="R88" s="260"/>
      <c r="S88" s="260"/>
      <c r="T88" s="24"/>
      <c r="U88" s="340">
        <f t="shared" si="5"/>
        <v>0</v>
      </c>
      <c r="V88" s="341"/>
      <c r="W88"/>
      <c r="X88"/>
    </row>
    <row r="89" spans="1:24" ht="22.5" customHeight="1" x14ac:dyDescent="0.25">
      <c r="A89" s="22">
        <v>69</v>
      </c>
      <c r="B89" s="239"/>
      <c r="C89" s="239"/>
      <c r="D89" s="238"/>
      <c r="E89" s="238"/>
      <c r="F89" s="239"/>
      <c r="G89" s="239"/>
      <c r="H89" s="238"/>
      <c r="I89" s="238"/>
      <c r="J89" s="309">
        <f t="shared" si="4"/>
        <v>0</v>
      </c>
      <c r="K89" s="309"/>
      <c r="L89" s="343"/>
      <c r="M89" s="22">
        <v>69</v>
      </c>
      <c r="N89" s="239"/>
      <c r="O89" s="239"/>
      <c r="P89" s="238"/>
      <c r="Q89" s="238"/>
      <c r="R89" s="239"/>
      <c r="S89" s="239"/>
      <c r="T89" s="23"/>
      <c r="U89" s="256">
        <f t="shared" si="5"/>
        <v>0</v>
      </c>
      <c r="V89" s="257"/>
      <c r="W89"/>
      <c r="X89"/>
    </row>
    <row r="90" spans="1:24" ht="22.5" customHeight="1" x14ac:dyDescent="0.25">
      <c r="A90" s="14">
        <v>70</v>
      </c>
      <c r="B90" s="252"/>
      <c r="C90" s="252"/>
      <c r="D90" s="251"/>
      <c r="E90" s="251"/>
      <c r="F90" s="252"/>
      <c r="G90" s="252"/>
      <c r="H90" s="251"/>
      <c r="I90" s="251"/>
      <c r="J90" s="323">
        <f t="shared" si="4"/>
        <v>0</v>
      </c>
      <c r="K90" s="324"/>
      <c r="L90" s="343"/>
      <c r="M90" s="15">
        <v>70</v>
      </c>
      <c r="N90" s="260"/>
      <c r="O90" s="260"/>
      <c r="P90" s="259"/>
      <c r="Q90" s="259"/>
      <c r="R90" s="260"/>
      <c r="S90" s="260"/>
      <c r="T90" s="24"/>
      <c r="U90" s="340">
        <f t="shared" si="5"/>
        <v>0</v>
      </c>
      <c r="V90" s="341"/>
      <c r="W90"/>
      <c r="X90"/>
    </row>
    <row r="91" spans="1:24" ht="22.5" customHeight="1" x14ac:dyDescent="0.25">
      <c r="A91" s="22">
        <v>71</v>
      </c>
      <c r="B91" s="239"/>
      <c r="C91" s="239"/>
      <c r="D91" s="238"/>
      <c r="E91" s="238"/>
      <c r="F91" s="239"/>
      <c r="G91" s="239"/>
      <c r="H91" s="238"/>
      <c r="I91" s="238"/>
      <c r="J91" s="309">
        <f t="shared" si="4"/>
        <v>0</v>
      </c>
      <c r="K91" s="309"/>
      <c r="L91" s="343"/>
      <c r="M91" s="22">
        <v>71</v>
      </c>
      <c r="N91" s="239"/>
      <c r="O91" s="239"/>
      <c r="P91" s="238"/>
      <c r="Q91" s="238"/>
      <c r="R91" s="239"/>
      <c r="S91" s="239"/>
      <c r="T91" s="23"/>
      <c r="U91" s="256">
        <f t="shared" si="5"/>
        <v>0</v>
      </c>
      <c r="V91" s="257"/>
      <c r="W91"/>
      <c r="X91"/>
    </row>
    <row r="92" spans="1:24" ht="22.5" customHeight="1" x14ac:dyDescent="0.25">
      <c r="A92" s="14">
        <v>72</v>
      </c>
      <c r="B92" s="252"/>
      <c r="C92" s="252"/>
      <c r="D92" s="251"/>
      <c r="E92" s="251"/>
      <c r="F92" s="252"/>
      <c r="G92" s="252"/>
      <c r="H92" s="251"/>
      <c r="I92" s="251"/>
      <c r="J92" s="323">
        <f t="shared" si="4"/>
        <v>0</v>
      </c>
      <c r="K92" s="324"/>
      <c r="L92" s="343"/>
      <c r="M92" s="15">
        <v>72</v>
      </c>
      <c r="N92" s="260"/>
      <c r="O92" s="260"/>
      <c r="P92" s="259"/>
      <c r="Q92" s="259"/>
      <c r="R92" s="260"/>
      <c r="S92" s="260"/>
      <c r="T92" s="24"/>
      <c r="U92" s="340">
        <f t="shared" si="5"/>
        <v>0</v>
      </c>
      <c r="V92" s="341"/>
      <c r="W92"/>
      <c r="X92"/>
    </row>
    <row r="93" spans="1:24" ht="22.5" customHeight="1" x14ac:dyDescent="0.25">
      <c r="A93" s="22">
        <v>73</v>
      </c>
      <c r="B93" s="239"/>
      <c r="C93" s="239"/>
      <c r="D93" s="238"/>
      <c r="E93" s="238"/>
      <c r="F93" s="239"/>
      <c r="G93" s="239"/>
      <c r="H93" s="238"/>
      <c r="I93" s="238"/>
      <c r="J93" s="309">
        <f t="shared" si="4"/>
        <v>0</v>
      </c>
      <c r="K93" s="309"/>
      <c r="L93" s="343"/>
      <c r="M93" s="22">
        <v>73</v>
      </c>
      <c r="N93" s="239"/>
      <c r="O93" s="239"/>
      <c r="P93" s="238"/>
      <c r="Q93" s="238"/>
      <c r="R93" s="239"/>
      <c r="S93" s="239"/>
      <c r="T93" s="23"/>
      <c r="U93" s="256">
        <f t="shared" si="5"/>
        <v>0</v>
      </c>
      <c r="V93" s="257"/>
      <c r="W93"/>
      <c r="X93"/>
    </row>
    <row r="94" spans="1:24" ht="22.5" customHeight="1" x14ac:dyDescent="0.25">
      <c r="A94" s="14">
        <v>74</v>
      </c>
      <c r="B94" s="252"/>
      <c r="C94" s="252"/>
      <c r="D94" s="251"/>
      <c r="E94" s="251"/>
      <c r="F94" s="252"/>
      <c r="G94" s="252"/>
      <c r="H94" s="251"/>
      <c r="I94" s="251"/>
      <c r="J94" s="323">
        <f t="shared" si="4"/>
        <v>0</v>
      </c>
      <c r="K94" s="324"/>
      <c r="L94" s="343"/>
      <c r="M94" s="15">
        <v>74</v>
      </c>
      <c r="N94" s="260"/>
      <c r="O94" s="260"/>
      <c r="P94" s="259"/>
      <c r="Q94" s="259"/>
      <c r="R94" s="260"/>
      <c r="S94" s="260"/>
      <c r="T94" s="24"/>
      <c r="U94" s="340">
        <f t="shared" si="5"/>
        <v>0</v>
      </c>
      <c r="V94" s="341"/>
      <c r="W94"/>
      <c r="X94"/>
    </row>
    <row r="95" spans="1:24" ht="22.5" customHeight="1" x14ac:dyDescent="0.25">
      <c r="A95" s="22">
        <v>75</v>
      </c>
      <c r="B95" s="239"/>
      <c r="C95" s="239"/>
      <c r="D95" s="238"/>
      <c r="E95" s="238"/>
      <c r="F95" s="239"/>
      <c r="G95" s="239"/>
      <c r="H95" s="238"/>
      <c r="I95" s="238"/>
      <c r="J95" s="309">
        <f t="shared" si="4"/>
        <v>0</v>
      </c>
      <c r="K95" s="309"/>
      <c r="L95" s="343"/>
      <c r="M95" s="22">
        <v>75</v>
      </c>
      <c r="N95" s="239"/>
      <c r="O95" s="239"/>
      <c r="P95" s="238"/>
      <c r="Q95" s="238"/>
      <c r="R95" s="239"/>
      <c r="S95" s="239"/>
      <c r="T95" s="23"/>
      <c r="U95" s="256">
        <f t="shared" si="5"/>
        <v>0</v>
      </c>
      <c r="V95" s="257"/>
      <c r="W95"/>
      <c r="X95"/>
    </row>
    <row r="96" spans="1:24" ht="22.5" customHeight="1" x14ac:dyDescent="0.25">
      <c r="A96" s="14">
        <v>76</v>
      </c>
      <c r="B96" s="252"/>
      <c r="C96" s="252"/>
      <c r="D96" s="251"/>
      <c r="E96" s="251"/>
      <c r="F96" s="252"/>
      <c r="G96" s="252"/>
      <c r="H96" s="251"/>
      <c r="I96" s="251"/>
      <c r="J96" s="323">
        <f t="shared" si="4"/>
        <v>0</v>
      </c>
      <c r="K96" s="324"/>
      <c r="L96" s="343"/>
      <c r="M96" s="15">
        <v>76</v>
      </c>
      <c r="N96" s="260"/>
      <c r="O96" s="260"/>
      <c r="P96" s="259"/>
      <c r="Q96" s="259"/>
      <c r="R96" s="260"/>
      <c r="S96" s="260"/>
      <c r="T96" s="24"/>
      <c r="U96" s="340">
        <f t="shared" si="5"/>
        <v>0</v>
      </c>
      <c r="V96" s="341"/>
      <c r="W96"/>
      <c r="X96"/>
    </row>
    <row r="97" spans="1:24" ht="22.5" customHeight="1" x14ac:dyDescent="0.25">
      <c r="A97" s="22">
        <v>77</v>
      </c>
      <c r="B97" s="239"/>
      <c r="C97" s="239"/>
      <c r="D97" s="238"/>
      <c r="E97" s="238"/>
      <c r="F97" s="239"/>
      <c r="G97" s="239"/>
      <c r="H97" s="238"/>
      <c r="I97" s="238"/>
      <c r="J97" s="309">
        <f t="shared" si="4"/>
        <v>0</v>
      </c>
      <c r="K97" s="309"/>
      <c r="L97" s="343"/>
      <c r="M97" s="22">
        <v>77</v>
      </c>
      <c r="N97" s="239"/>
      <c r="O97" s="239"/>
      <c r="P97" s="238"/>
      <c r="Q97" s="238"/>
      <c r="R97" s="239"/>
      <c r="S97" s="239"/>
      <c r="T97" s="23"/>
      <c r="U97" s="256">
        <f t="shared" si="5"/>
        <v>0</v>
      </c>
      <c r="V97" s="257"/>
      <c r="W97"/>
      <c r="X97"/>
    </row>
    <row r="98" spans="1:24" ht="22.5" customHeight="1" x14ac:dyDescent="0.25">
      <c r="A98" s="14">
        <v>78</v>
      </c>
      <c r="B98" s="252"/>
      <c r="C98" s="252"/>
      <c r="D98" s="251"/>
      <c r="E98" s="251"/>
      <c r="F98" s="252"/>
      <c r="G98" s="252"/>
      <c r="H98" s="251"/>
      <c r="I98" s="251"/>
      <c r="J98" s="323">
        <f t="shared" si="4"/>
        <v>0</v>
      </c>
      <c r="K98" s="324"/>
      <c r="L98" s="343"/>
      <c r="M98" s="15">
        <v>78</v>
      </c>
      <c r="N98" s="260"/>
      <c r="O98" s="260"/>
      <c r="P98" s="259"/>
      <c r="Q98" s="259"/>
      <c r="R98" s="260"/>
      <c r="S98" s="260"/>
      <c r="T98" s="24"/>
      <c r="U98" s="340">
        <f t="shared" si="5"/>
        <v>0</v>
      </c>
      <c r="V98" s="341"/>
      <c r="W98"/>
      <c r="X98"/>
    </row>
    <row r="99" spans="1:24" ht="22.5" customHeight="1" x14ac:dyDescent="0.25">
      <c r="A99" s="22">
        <v>79</v>
      </c>
      <c r="B99" s="239"/>
      <c r="C99" s="239"/>
      <c r="D99" s="238"/>
      <c r="E99" s="238"/>
      <c r="F99" s="239"/>
      <c r="G99" s="239"/>
      <c r="H99" s="238"/>
      <c r="I99" s="238"/>
      <c r="J99" s="309">
        <f t="shared" si="4"/>
        <v>0</v>
      </c>
      <c r="K99" s="309"/>
      <c r="L99" s="343"/>
      <c r="M99" s="22">
        <v>79</v>
      </c>
      <c r="N99" s="239"/>
      <c r="O99" s="239"/>
      <c r="P99" s="238"/>
      <c r="Q99" s="238"/>
      <c r="R99" s="239"/>
      <c r="S99" s="239"/>
      <c r="T99" s="23"/>
      <c r="U99" s="256">
        <f t="shared" si="5"/>
        <v>0</v>
      </c>
      <c r="V99" s="257"/>
      <c r="W99"/>
      <c r="X99"/>
    </row>
    <row r="100" spans="1:24" ht="22.5" customHeight="1" x14ac:dyDescent="0.25">
      <c r="A100" s="14">
        <v>80</v>
      </c>
      <c r="B100" s="252"/>
      <c r="C100" s="252"/>
      <c r="D100" s="251"/>
      <c r="E100" s="251"/>
      <c r="F100" s="252"/>
      <c r="G100" s="252"/>
      <c r="H100" s="251"/>
      <c r="I100" s="251"/>
      <c r="J100" s="323">
        <f t="shared" si="4"/>
        <v>0</v>
      </c>
      <c r="K100" s="324"/>
      <c r="L100" s="343"/>
      <c r="M100" s="15">
        <v>80</v>
      </c>
      <c r="N100" s="260"/>
      <c r="O100" s="260"/>
      <c r="P100" s="259"/>
      <c r="Q100" s="259"/>
      <c r="R100" s="260"/>
      <c r="S100" s="260"/>
      <c r="T100" s="24"/>
      <c r="U100" s="340">
        <f t="shared" si="5"/>
        <v>0</v>
      </c>
      <c r="V100" s="341"/>
      <c r="W100"/>
      <c r="X100"/>
    </row>
    <row r="101" spans="1:24" ht="22.5" customHeight="1" x14ac:dyDescent="0.25">
      <c r="A101" s="22">
        <v>81</v>
      </c>
      <c r="B101" s="239"/>
      <c r="C101" s="239"/>
      <c r="D101" s="238"/>
      <c r="E101" s="238"/>
      <c r="F101" s="239"/>
      <c r="G101" s="239"/>
      <c r="H101" s="238"/>
      <c r="I101" s="238"/>
      <c r="J101" s="309">
        <f t="shared" si="4"/>
        <v>0</v>
      </c>
      <c r="K101" s="309"/>
      <c r="L101" s="343"/>
      <c r="M101" s="22">
        <v>81</v>
      </c>
      <c r="N101" s="239"/>
      <c r="O101" s="239"/>
      <c r="P101" s="238"/>
      <c r="Q101" s="238"/>
      <c r="R101" s="239"/>
      <c r="S101" s="239"/>
      <c r="T101" s="23"/>
      <c r="U101" s="256">
        <f t="shared" si="5"/>
        <v>0</v>
      </c>
      <c r="V101" s="257"/>
      <c r="W101"/>
      <c r="X101"/>
    </row>
    <row r="102" spans="1:24" ht="22.5" customHeight="1" x14ac:dyDescent="0.25">
      <c r="A102" s="14">
        <v>82</v>
      </c>
      <c r="B102" s="252"/>
      <c r="C102" s="252"/>
      <c r="D102" s="251"/>
      <c r="E102" s="251"/>
      <c r="F102" s="252"/>
      <c r="G102" s="252"/>
      <c r="H102" s="251"/>
      <c r="I102" s="251"/>
      <c r="J102" s="323">
        <f t="shared" si="4"/>
        <v>0</v>
      </c>
      <c r="K102" s="324"/>
      <c r="L102" s="343"/>
      <c r="M102" s="15">
        <v>82</v>
      </c>
      <c r="N102" s="260"/>
      <c r="O102" s="260"/>
      <c r="P102" s="259"/>
      <c r="Q102" s="259"/>
      <c r="R102" s="260"/>
      <c r="S102" s="260"/>
      <c r="T102" s="24"/>
      <c r="U102" s="340">
        <f t="shared" si="5"/>
        <v>0</v>
      </c>
      <c r="V102" s="341"/>
      <c r="W102"/>
      <c r="X102"/>
    </row>
    <row r="103" spans="1:24" ht="22.5" customHeight="1" x14ac:dyDescent="0.25">
      <c r="A103" s="22">
        <v>83</v>
      </c>
      <c r="B103" s="239"/>
      <c r="C103" s="239"/>
      <c r="D103" s="238"/>
      <c r="E103" s="238"/>
      <c r="F103" s="239"/>
      <c r="G103" s="239"/>
      <c r="H103" s="238"/>
      <c r="I103" s="238"/>
      <c r="J103" s="309">
        <f t="shared" si="4"/>
        <v>0</v>
      </c>
      <c r="K103" s="309"/>
      <c r="L103" s="343"/>
      <c r="M103" s="22">
        <v>83</v>
      </c>
      <c r="N103" s="239"/>
      <c r="O103" s="239"/>
      <c r="P103" s="238"/>
      <c r="Q103" s="238"/>
      <c r="R103" s="239"/>
      <c r="S103" s="239"/>
      <c r="T103" s="23"/>
      <c r="U103" s="256">
        <f t="shared" si="5"/>
        <v>0</v>
      </c>
      <c r="V103" s="257"/>
      <c r="W103"/>
      <c r="X103"/>
    </row>
    <row r="104" spans="1:24" ht="22.5" customHeight="1" x14ac:dyDescent="0.25">
      <c r="A104" s="14">
        <v>84</v>
      </c>
      <c r="B104" s="252"/>
      <c r="C104" s="252"/>
      <c r="D104" s="251"/>
      <c r="E104" s="251"/>
      <c r="F104" s="252"/>
      <c r="G104" s="252"/>
      <c r="H104" s="251"/>
      <c r="I104" s="251"/>
      <c r="J104" s="323">
        <f t="shared" si="4"/>
        <v>0</v>
      </c>
      <c r="K104" s="324"/>
      <c r="L104" s="343"/>
      <c r="M104" s="15">
        <v>84</v>
      </c>
      <c r="N104" s="260"/>
      <c r="O104" s="260"/>
      <c r="P104" s="259"/>
      <c r="Q104" s="259"/>
      <c r="R104" s="260"/>
      <c r="S104" s="260"/>
      <c r="T104" s="24"/>
      <c r="U104" s="340">
        <f t="shared" si="5"/>
        <v>0</v>
      </c>
      <c r="V104" s="341"/>
      <c r="W104"/>
      <c r="X104"/>
    </row>
    <row r="105" spans="1:24" ht="22.5" customHeight="1" x14ac:dyDescent="0.25">
      <c r="A105" s="22">
        <v>85</v>
      </c>
      <c r="B105" s="239"/>
      <c r="C105" s="239"/>
      <c r="D105" s="238"/>
      <c r="E105" s="238"/>
      <c r="F105" s="239"/>
      <c r="G105" s="239"/>
      <c r="H105" s="238"/>
      <c r="I105" s="238"/>
      <c r="J105" s="309">
        <f t="shared" si="4"/>
        <v>0</v>
      </c>
      <c r="K105" s="309"/>
      <c r="L105" s="343"/>
      <c r="M105" s="22">
        <v>85</v>
      </c>
      <c r="N105" s="239"/>
      <c r="O105" s="239"/>
      <c r="P105" s="238"/>
      <c r="Q105" s="238"/>
      <c r="R105" s="239"/>
      <c r="S105" s="239"/>
      <c r="T105" s="23"/>
      <c r="U105" s="256">
        <f t="shared" si="5"/>
        <v>0</v>
      </c>
      <c r="V105" s="257"/>
      <c r="W105"/>
      <c r="X105"/>
    </row>
    <row r="106" spans="1:24" ht="22.5" customHeight="1" x14ac:dyDescent="0.25">
      <c r="A106" s="14">
        <v>86</v>
      </c>
      <c r="B106" s="252"/>
      <c r="C106" s="252"/>
      <c r="D106" s="251"/>
      <c r="E106" s="251"/>
      <c r="F106" s="252"/>
      <c r="G106" s="252"/>
      <c r="H106" s="251"/>
      <c r="I106" s="251"/>
      <c r="J106" s="323">
        <f t="shared" si="4"/>
        <v>0</v>
      </c>
      <c r="K106" s="324"/>
      <c r="L106" s="343"/>
      <c r="M106" s="15">
        <v>86</v>
      </c>
      <c r="N106" s="260"/>
      <c r="O106" s="260"/>
      <c r="P106" s="259"/>
      <c r="Q106" s="259"/>
      <c r="R106" s="260"/>
      <c r="S106" s="260"/>
      <c r="T106" s="24"/>
      <c r="U106" s="340">
        <f t="shared" si="5"/>
        <v>0</v>
      </c>
      <c r="V106" s="341"/>
      <c r="W106"/>
      <c r="X106"/>
    </row>
    <row r="107" spans="1:24" ht="22.5" customHeight="1" x14ac:dyDescent="0.25">
      <c r="A107" s="22">
        <v>87</v>
      </c>
      <c r="B107" s="239"/>
      <c r="C107" s="239"/>
      <c r="D107" s="238"/>
      <c r="E107" s="238"/>
      <c r="F107" s="239"/>
      <c r="G107" s="239"/>
      <c r="H107" s="238"/>
      <c r="I107" s="238"/>
      <c r="J107" s="309">
        <f t="shared" si="4"/>
        <v>0</v>
      </c>
      <c r="K107" s="309"/>
      <c r="L107" s="343"/>
      <c r="M107" s="22">
        <v>87</v>
      </c>
      <c r="N107" s="239"/>
      <c r="O107" s="239"/>
      <c r="P107" s="238"/>
      <c r="Q107" s="238"/>
      <c r="R107" s="239"/>
      <c r="S107" s="239"/>
      <c r="T107" s="23"/>
      <c r="U107" s="256">
        <f t="shared" si="5"/>
        <v>0</v>
      </c>
      <c r="V107" s="257"/>
      <c r="W107"/>
      <c r="X107"/>
    </row>
    <row r="108" spans="1:24" ht="22.5" customHeight="1" x14ac:dyDescent="0.25">
      <c r="A108" s="14">
        <v>88</v>
      </c>
      <c r="B108" s="252"/>
      <c r="C108" s="252"/>
      <c r="D108" s="251"/>
      <c r="E108" s="251"/>
      <c r="F108" s="252"/>
      <c r="G108" s="252"/>
      <c r="H108" s="251"/>
      <c r="I108" s="251"/>
      <c r="J108" s="323">
        <f t="shared" si="4"/>
        <v>0</v>
      </c>
      <c r="K108" s="324"/>
      <c r="L108" s="343"/>
      <c r="M108" s="15">
        <v>88</v>
      </c>
      <c r="N108" s="260"/>
      <c r="O108" s="260"/>
      <c r="P108" s="259"/>
      <c r="Q108" s="259"/>
      <c r="R108" s="260"/>
      <c r="S108" s="260"/>
      <c r="T108" s="24"/>
      <c r="U108" s="340">
        <f t="shared" si="5"/>
        <v>0</v>
      </c>
      <c r="V108" s="341"/>
      <c r="W108"/>
      <c r="X108"/>
    </row>
    <row r="109" spans="1:24" ht="22.5" customHeight="1" x14ac:dyDescent="0.25">
      <c r="A109" s="22">
        <v>89</v>
      </c>
      <c r="B109" s="239"/>
      <c r="C109" s="239"/>
      <c r="D109" s="238"/>
      <c r="E109" s="238"/>
      <c r="F109" s="239"/>
      <c r="G109" s="239"/>
      <c r="H109" s="238"/>
      <c r="I109" s="238"/>
      <c r="J109" s="309">
        <f t="shared" si="4"/>
        <v>0</v>
      </c>
      <c r="K109" s="309"/>
      <c r="L109" s="343"/>
      <c r="M109" s="22">
        <v>89</v>
      </c>
      <c r="N109" s="239"/>
      <c r="O109" s="239"/>
      <c r="P109" s="238"/>
      <c r="Q109" s="238"/>
      <c r="R109" s="239"/>
      <c r="S109" s="239"/>
      <c r="T109" s="23"/>
      <c r="U109" s="256">
        <f t="shared" si="5"/>
        <v>0</v>
      </c>
      <c r="V109" s="257"/>
      <c r="W109"/>
      <c r="X109"/>
    </row>
    <row r="110" spans="1:24" ht="22.5" customHeight="1" x14ac:dyDescent="0.25">
      <c r="A110" s="14">
        <v>90</v>
      </c>
      <c r="B110" s="252"/>
      <c r="C110" s="252"/>
      <c r="D110" s="251"/>
      <c r="E110" s="251"/>
      <c r="F110" s="252"/>
      <c r="G110" s="252"/>
      <c r="H110" s="251"/>
      <c r="I110" s="251"/>
      <c r="J110" s="323">
        <f t="shared" si="4"/>
        <v>0</v>
      </c>
      <c r="K110" s="324"/>
      <c r="L110" s="343"/>
      <c r="M110" s="15">
        <v>90</v>
      </c>
      <c r="N110" s="260"/>
      <c r="O110" s="260"/>
      <c r="P110" s="259"/>
      <c r="Q110" s="259"/>
      <c r="R110" s="260"/>
      <c r="S110" s="260"/>
      <c r="T110" s="24"/>
      <c r="U110" s="340">
        <f t="shared" si="5"/>
        <v>0</v>
      </c>
      <c r="V110" s="341"/>
      <c r="W110"/>
      <c r="X110"/>
    </row>
    <row r="111" spans="1:24" ht="22.5" customHeight="1" x14ac:dyDescent="0.25">
      <c r="A111" s="22">
        <v>91</v>
      </c>
      <c r="B111" s="239"/>
      <c r="C111" s="239"/>
      <c r="D111" s="238"/>
      <c r="E111" s="238"/>
      <c r="F111" s="239"/>
      <c r="G111" s="239"/>
      <c r="H111" s="238"/>
      <c r="I111" s="238"/>
      <c r="J111" s="309">
        <f t="shared" si="4"/>
        <v>0</v>
      </c>
      <c r="K111" s="309"/>
      <c r="L111" s="343"/>
      <c r="M111" s="22">
        <v>91</v>
      </c>
      <c r="N111" s="239"/>
      <c r="O111" s="239"/>
      <c r="P111" s="238"/>
      <c r="Q111" s="238"/>
      <c r="R111" s="239"/>
      <c r="S111" s="239"/>
      <c r="T111" s="23"/>
      <c r="U111" s="256">
        <f t="shared" si="5"/>
        <v>0</v>
      </c>
      <c r="V111" s="257"/>
      <c r="W111"/>
      <c r="X111"/>
    </row>
    <row r="112" spans="1:24" ht="22.5" customHeight="1" x14ac:dyDescent="0.25">
      <c r="A112" s="14">
        <v>92</v>
      </c>
      <c r="B112" s="252"/>
      <c r="C112" s="252"/>
      <c r="D112" s="251"/>
      <c r="E112" s="251"/>
      <c r="F112" s="252"/>
      <c r="G112" s="252"/>
      <c r="H112" s="251"/>
      <c r="I112" s="251"/>
      <c r="J112" s="323">
        <f t="shared" si="4"/>
        <v>0</v>
      </c>
      <c r="K112" s="324"/>
      <c r="L112" s="343"/>
      <c r="M112" s="15">
        <v>92</v>
      </c>
      <c r="N112" s="260"/>
      <c r="O112" s="260"/>
      <c r="P112" s="259"/>
      <c r="Q112" s="259"/>
      <c r="R112" s="260"/>
      <c r="S112" s="260"/>
      <c r="T112" s="24"/>
      <c r="U112" s="340">
        <f t="shared" si="5"/>
        <v>0</v>
      </c>
      <c r="V112" s="341"/>
      <c r="W112"/>
      <c r="X112"/>
    </row>
    <row r="113" spans="1:24" ht="22.5" customHeight="1" x14ac:dyDescent="0.25">
      <c r="A113" s="22">
        <v>93</v>
      </c>
      <c r="B113" s="239"/>
      <c r="C113" s="239"/>
      <c r="D113" s="238"/>
      <c r="E113" s="238"/>
      <c r="F113" s="239"/>
      <c r="G113" s="239"/>
      <c r="H113" s="238"/>
      <c r="I113" s="238"/>
      <c r="J113" s="309">
        <f t="shared" si="4"/>
        <v>0</v>
      </c>
      <c r="K113" s="309"/>
      <c r="L113" s="343"/>
      <c r="M113" s="22">
        <v>93</v>
      </c>
      <c r="N113" s="239"/>
      <c r="O113" s="239"/>
      <c r="P113" s="238"/>
      <c r="Q113" s="238"/>
      <c r="R113" s="239"/>
      <c r="S113" s="239"/>
      <c r="T113" s="23"/>
      <c r="U113" s="256">
        <f t="shared" si="5"/>
        <v>0</v>
      </c>
      <c r="V113" s="257"/>
      <c r="W113"/>
      <c r="X113"/>
    </row>
    <row r="114" spans="1:24" ht="22.5" customHeight="1" x14ac:dyDescent="0.25">
      <c r="A114" s="14">
        <v>94</v>
      </c>
      <c r="B114" s="252"/>
      <c r="C114" s="252"/>
      <c r="D114" s="251"/>
      <c r="E114" s="251"/>
      <c r="F114" s="252"/>
      <c r="G114" s="252"/>
      <c r="H114" s="251"/>
      <c r="I114" s="251"/>
      <c r="J114" s="323">
        <f t="shared" si="4"/>
        <v>0</v>
      </c>
      <c r="K114" s="324"/>
      <c r="L114" s="343"/>
      <c r="M114" s="15">
        <v>94</v>
      </c>
      <c r="N114" s="260"/>
      <c r="O114" s="260"/>
      <c r="P114" s="259"/>
      <c r="Q114" s="259"/>
      <c r="R114" s="260"/>
      <c r="S114" s="260"/>
      <c r="T114" s="24"/>
      <c r="U114" s="340">
        <f t="shared" si="5"/>
        <v>0</v>
      </c>
      <c r="V114" s="341"/>
      <c r="W114"/>
      <c r="X114"/>
    </row>
    <row r="115" spans="1:24" ht="22.5" customHeight="1" x14ac:dyDescent="0.25">
      <c r="A115" s="22">
        <v>95</v>
      </c>
      <c r="B115" s="239"/>
      <c r="C115" s="239"/>
      <c r="D115" s="238"/>
      <c r="E115" s="238"/>
      <c r="F115" s="239"/>
      <c r="G115" s="239"/>
      <c r="H115" s="238"/>
      <c r="I115" s="238"/>
      <c r="J115" s="309">
        <f t="shared" si="4"/>
        <v>0</v>
      </c>
      <c r="K115" s="309"/>
      <c r="L115" s="343"/>
      <c r="M115" s="22">
        <v>95</v>
      </c>
      <c r="N115" s="239"/>
      <c r="O115" s="239"/>
      <c r="P115" s="238"/>
      <c r="Q115" s="238"/>
      <c r="R115" s="239"/>
      <c r="S115" s="239"/>
      <c r="T115" s="23"/>
      <c r="U115" s="256">
        <f t="shared" si="5"/>
        <v>0</v>
      </c>
      <c r="V115" s="257"/>
      <c r="W115"/>
      <c r="X115"/>
    </row>
    <row r="116" spans="1:24" ht="22.5" customHeight="1" x14ac:dyDescent="0.25">
      <c r="A116" s="14">
        <v>96</v>
      </c>
      <c r="B116" s="252"/>
      <c r="C116" s="252"/>
      <c r="D116" s="251"/>
      <c r="E116" s="251"/>
      <c r="F116" s="252"/>
      <c r="G116" s="252"/>
      <c r="H116" s="251"/>
      <c r="I116" s="251"/>
      <c r="J116" s="323">
        <f t="shared" si="4"/>
        <v>0</v>
      </c>
      <c r="K116" s="324"/>
      <c r="L116" s="343"/>
      <c r="M116" s="15">
        <v>96</v>
      </c>
      <c r="N116" s="260"/>
      <c r="O116" s="260"/>
      <c r="P116" s="259"/>
      <c r="Q116" s="259"/>
      <c r="R116" s="260"/>
      <c r="S116" s="260"/>
      <c r="T116" s="24"/>
      <c r="U116" s="340">
        <f t="shared" si="5"/>
        <v>0</v>
      </c>
      <c r="V116" s="341"/>
      <c r="W116"/>
      <c r="X116"/>
    </row>
    <row r="117" spans="1:24" ht="22.5" customHeight="1" x14ac:dyDescent="0.25">
      <c r="A117" s="22">
        <v>97</v>
      </c>
      <c r="B117" s="239"/>
      <c r="C117" s="239"/>
      <c r="D117" s="238"/>
      <c r="E117" s="238"/>
      <c r="F117" s="239"/>
      <c r="G117" s="239"/>
      <c r="H117" s="238"/>
      <c r="I117" s="238"/>
      <c r="J117" s="309">
        <f t="shared" si="4"/>
        <v>0</v>
      </c>
      <c r="K117" s="309"/>
      <c r="L117" s="343"/>
      <c r="M117" s="22">
        <v>97</v>
      </c>
      <c r="N117" s="239"/>
      <c r="O117" s="239"/>
      <c r="P117" s="238"/>
      <c r="Q117" s="238"/>
      <c r="R117" s="239"/>
      <c r="S117" s="239"/>
      <c r="T117" s="23"/>
      <c r="U117" s="256">
        <f t="shared" si="5"/>
        <v>0</v>
      </c>
      <c r="V117" s="257"/>
      <c r="W117"/>
      <c r="X117"/>
    </row>
    <row r="118" spans="1:24" ht="22.5" customHeight="1" x14ac:dyDescent="0.25">
      <c r="A118" s="14">
        <v>98</v>
      </c>
      <c r="B118" s="252"/>
      <c r="C118" s="252"/>
      <c r="D118" s="251"/>
      <c r="E118" s="251"/>
      <c r="F118" s="252"/>
      <c r="G118" s="252"/>
      <c r="H118" s="251"/>
      <c r="I118" s="251"/>
      <c r="J118" s="323">
        <f t="shared" si="4"/>
        <v>0</v>
      </c>
      <c r="K118" s="324"/>
      <c r="L118" s="343"/>
      <c r="M118" s="15">
        <v>98</v>
      </c>
      <c r="N118" s="260"/>
      <c r="O118" s="260"/>
      <c r="P118" s="259"/>
      <c r="Q118" s="259"/>
      <c r="R118" s="260"/>
      <c r="S118" s="260"/>
      <c r="T118" s="24"/>
      <c r="U118" s="340">
        <f t="shared" si="5"/>
        <v>0</v>
      </c>
      <c r="V118" s="341"/>
      <c r="W118"/>
      <c r="X118"/>
    </row>
    <row r="119" spans="1:24" ht="22.5" customHeight="1" x14ac:dyDescent="0.25">
      <c r="A119" s="22">
        <v>99</v>
      </c>
      <c r="B119" s="239"/>
      <c r="C119" s="239"/>
      <c r="D119" s="238"/>
      <c r="E119" s="238"/>
      <c r="F119" s="239"/>
      <c r="G119" s="239"/>
      <c r="H119" s="238"/>
      <c r="I119" s="238"/>
      <c r="J119" s="309">
        <f t="shared" si="4"/>
        <v>0</v>
      </c>
      <c r="K119" s="309"/>
      <c r="L119" s="343"/>
      <c r="M119" s="22">
        <v>99</v>
      </c>
      <c r="N119" s="239"/>
      <c r="O119" s="239"/>
      <c r="P119" s="238"/>
      <c r="Q119" s="238"/>
      <c r="R119" s="239"/>
      <c r="S119" s="239"/>
      <c r="T119" s="23"/>
      <c r="U119" s="256">
        <f t="shared" si="5"/>
        <v>0</v>
      </c>
      <c r="V119" s="257"/>
      <c r="W119"/>
      <c r="X119"/>
    </row>
    <row r="120" spans="1:24" ht="22.5" customHeight="1" x14ac:dyDescent="0.25">
      <c r="A120" s="14">
        <v>100</v>
      </c>
      <c r="B120" s="252"/>
      <c r="C120" s="252"/>
      <c r="D120" s="251"/>
      <c r="E120" s="251"/>
      <c r="F120" s="252"/>
      <c r="G120" s="252"/>
      <c r="H120" s="251"/>
      <c r="I120" s="251"/>
      <c r="J120" s="323">
        <f t="shared" si="4"/>
        <v>0</v>
      </c>
      <c r="K120" s="324"/>
      <c r="L120" s="343"/>
      <c r="M120" s="15">
        <v>100</v>
      </c>
      <c r="N120" s="260"/>
      <c r="O120" s="260"/>
      <c r="P120" s="259"/>
      <c r="Q120" s="259"/>
      <c r="R120" s="260"/>
      <c r="S120" s="260"/>
      <c r="T120" s="24"/>
      <c r="U120" s="340">
        <f t="shared" si="5"/>
        <v>0</v>
      </c>
      <c r="V120" s="341"/>
      <c r="W120"/>
      <c r="X120"/>
    </row>
    <row r="121" spans="1:24" ht="22.5" customHeight="1" x14ac:dyDescent="0.25">
      <c r="A121" s="22">
        <v>101</v>
      </c>
      <c r="B121" s="239"/>
      <c r="C121" s="239"/>
      <c r="D121" s="238"/>
      <c r="E121" s="238"/>
      <c r="F121" s="239"/>
      <c r="G121" s="239"/>
      <c r="H121" s="238"/>
      <c r="I121" s="238"/>
      <c r="J121" s="309">
        <f t="shared" si="4"/>
        <v>0</v>
      </c>
      <c r="K121" s="309"/>
      <c r="L121" s="343"/>
      <c r="M121" s="22">
        <v>101</v>
      </c>
      <c r="N121" s="239"/>
      <c r="O121" s="239"/>
      <c r="P121" s="238"/>
      <c r="Q121" s="238"/>
      <c r="R121" s="239"/>
      <c r="S121" s="239"/>
      <c r="T121" s="23"/>
      <c r="U121" s="256">
        <f t="shared" si="5"/>
        <v>0</v>
      </c>
      <c r="V121" s="257"/>
      <c r="W121"/>
      <c r="X121"/>
    </row>
    <row r="122" spans="1:24" ht="22.5" customHeight="1" x14ac:dyDescent="0.25">
      <c r="A122" s="14">
        <v>102</v>
      </c>
      <c r="B122" s="252"/>
      <c r="C122" s="252"/>
      <c r="D122" s="251"/>
      <c r="E122" s="251"/>
      <c r="F122" s="252"/>
      <c r="G122" s="252"/>
      <c r="H122" s="251"/>
      <c r="I122" s="251"/>
      <c r="J122" s="323">
        <f t="shared" si="4"/>
        <v>0</v>
      </c>
      <c r="K122" s="324"/>
      <c r="L122" s="343"/>
      <c r="M122" s="15">
        <v>102</v>
      </c>
      <c r="N122" s="260"/>
      <c r="O122" s="260"/>
      <c r="P122" s="259"/>
      <c r="Q122" s="259"/>
      <c r="R122" s="260"/>
      <c r="S122" s="260"/>
      <c r="T122" s="24"/>
      <c r="U122" s="340">
        <f t="shared" si="5"/>
        <v>0</v>
      </c>
      <c r="V122" s="341"/>
      <c r="W122"/>
      <c r="X122"/>
    </row>
    <row r="123" spans="1:24" ht="22.5" customHeight="1" x14ac:dyDescent="0.25">
      <c r="A123" s="22">
        <v>103</v>
      </c>
      <c r="B123" s="239"/>
      <c r="C123" s="239"/>
      <c r="D123" s="238"/>
      <c r="E123" s="238"/>
      <c r="F123" s="239"/>
      <c r="G123" s="239"/>
      <c r="H123" s="238"/>
      <c r="I123" s="238"/>
      <c r="J123" s="309">
        <f t="shared" si="4"/>
        <v>0</v>
      </c>
      <c r="K123" s="309"/>
      <c r="L123" s="343"/>
      <c r="M123" s="22">
        <v>103</v>
      </c>
      <c r="N123" s="239"/>
      <c r="O123" s="239"/>
      <c r="P123" s="238"/>
      <c r="Q123" s="238"/>
      <c r="R123" s="239"/>
      <c r="S123" s="239"/>
      <c r="T123" s="23"/>
      <c r="U123" s="256">
        <f t="shared" si="5"/>
        <v>0</v>
      </c>
      <c r="V123" s="257"/>
      <c r="W123"/>
      <c r="X123"/>
    </row>
    <row r="124" spans="1:24" ht="22.5" customHeight="1" x14ac:dyDescent="0.25">
      <c r="A124" s="14">
        <v>104</v>
      </c>
      <c r="B124" s="252"/>
      <c r="C124" s="252"/>
      <c r="D124" s="251"/>
      <c r="E124" s="251"/>
      <c r="F124" s="252"/>
      <c r="G124" s="252"/>
      <c r="H124" s="251"/>
      <c r="I124" s="251"/>
      <c r="J124" s="323">
        <f t="shared" si="4"/>
        <v>0</v>
      </c>
      <c r="K124" s="324"/>
      <c r="L124" s="343"/>
      <c r="M124" s="15">
        <v>104</v>
      </c>
      <c r="N124" s="260"/>
      <c r="O124" s="260"/>
      <c r="P124" s="259"/>
      <c r="Q124" s="259"/>
      <c r="R124" s="260"/>
      <c r="S124" s="260"/>
      <c r="T124" s="24"/>
      <c r="U124" s="340">
        <f t="shared" si="5"/>
        <v>0</v>
      </c>
      <c r="V124" s="341"/>
      <c r="W124"/>
      <c r="X124"/>
    </row>
    <row r="125" spans="1:24" ht="22.5" customHeight="1" x14ac:dyDescent="0.25">
      <c r="A125" s="22">
        <v>105</v>
      </c>
      <c r="B125" s="239"/>
      <c r="C125" s="239"/>
      <c r="D125" s="238"/>
      <c r="E125" s="238"/>
      <c r="F125" s="239"/>
      <c r="G125" s="239"/>
      <c r="H125" s="238"/>
      <c r="I125" s="238"/>
      <c r="J125" s="309">
        <f t="shared" si="4"/>
        <v>0</v>
      </c>
      <c r="K125" s="309"/>
      <c r="L125" s="343"/>
      <c r="M125" s="22">
        <v>105</v>
      </c>
      <c r="N125" s="239"/>
      <c r="O125" s="239"/>
      <c r="P125" s="238"/>
      <c r="Q125" s="238"/>
      <c r="R125" s="239"/>
      <c r="S125" s="239"/>
      <c r="T125" s="23"/>
      <c r="U125" s="256">
        <f t="shared" si="5"/>
        <v>0</v>
      </c>
      <c r="V125" s="257"/>
      <c r="W125"/>
      <c r="X125"/>
    </row>
    <row r="126" spans="1:24" ht="22.5" customHeight="1" x14ac:dyDescent="0.25">
      <c r="A126" s="14">
        <v>106</v>
      </c>
      <c r="B126" s="252"/>
      <c r="C126" s="252"/>
      <c r="D126" s="251"/>
      <c r="E126" s="251"/>
      <c r="F126" s="252"/>
      <c r="G126" s="252"/>
      <c r="H126" s="251"/>
      <c r="I126" s="251"/>
      <c r="J126" s="323">
        <f t="shared" si="4"/>
        <v>0</v>
      </c>
      <c r="K126" s="324"/>
      <c r="L126" s="343"/>
      <c r="M126" s="15">
        <v>106</v>
      </c>
      <c r="N126" s="260"/>
      <c r="O126" s="260"/>
      <c r="P126" s="259"/>
      <c r="Q126" s="259"/>
      <c r="R126" s="260"/>
      <c r="S126" s="260"/>
      <c r="T126" s="24"/>
      <c r="U126" s="340">
        <f t="shared" si="5"/>
        <v>0</v>
      </c>
      <c r="V126" s="341"/>
      <c r="W126"/>
      <c r="X126"/>
    </row>
    <row r="127" spans="1:24" ht="22.5" customHeight="1" x14ac:dyDescent="0.25">
      <c r="A127" s="22">
        <v>107</v>
      </c>
      <c r="B127" s="239"/>
      <c r="C127" s="239"/>
      <c r="D127" s="238"/>
      <c r="E127" s="238"/>
      <c r="F127" s="239"/>
      <c r="G127" s="239"/>
      <c r="H127" s="238"/>
      <c r="I127" s="238"/>
      <c r="J127" s="309">
        <f t="shared" si="4"/>
        <v>0</v>
      </c>
      <c r="K127" s="309"/>
      <c r="L127" s="343"/>
      <c r="M127" s="22">
        <v>107</v>
      </c>
      <c r="N127" s="239"/>
      <c r="O127" s="239"/>
      <c r="P127" s="238"/>
      <c r="Q127" s="238"/>
      <c r="R127" s="239"/>
      <c r="S127" s="239"/>
      <c r="T127" s="23"/>
      <c r="U127" s="256">
        <f t="shared" si="5"/>
        <v>0</v>
      </c>
      <c r="V127" s="257"/>
      <c r="W127"/>
      <c r="X127"/>
    </row>
    <row r="128" spans="1:24" ht="22.5" customHeight="1" x14ac:dyDescent="0.25">
      <c r="A128" s="14">
        <v>108</v>
      </c>
      <c r="B128" s="252"/>
      <c r="C128" s="252"/>
      <c r="D128" s="251"/>
      <c r="E128" s="251"/>
      <c r="F128" s="252"/>
      <c r="G128" s="252"/>
      <c r="H128" s="251"/>
      <c r="I128" s="251"/>
      <c r="J128" s="323">
        <f t="shared" si="4"/>
        <v>0</v>
      </c>
      <c r="K128" s="324"/>
      <c r="L128" s="343"/>
      <c r="M128" s="15">
        <v>108</v>
      </c>
      <c r="N128" s="260"/>
      <c r="O128" s="260"/>
      <c r="P128" s="259"/>
      <c r="Q128" s="259"/>
      <c r="R128" s="260"/>
      <c r="S128" s="260"/>
      <c r="T128" s="24"/>
      <c r="U128" s="340">
        <f t="shared" si="5"/>
        <v>0</v>
      </c>
      <c r="V128" s="341"/>
      <c r="W128"/>
      <c r="X128"/>
    </row>
    <row r="129" spans="1:24" ht="22.5" customHeight="1" x14ac:dyDescent="0.25">
      <c r="A129" s="22">
        <v>109</v>
      </c>
      <c r="B129" s="239"/>
      <c r="C129" s="239"/>
      <c r="D129" s="238"/>
      <c r="E129" s="238"/>
      <c r="F129" s="239"/>
      <c r="G129" s="239"/>
      <c r="H129" s="238"/>
      <c r="I129" s="238"/>
      <c r="J129" s="309">
        <f t="shared" si="4"/>
        <v>0</v>
      </c>
      <c r="K129" s="309"/>
      <c r="L129" s="343"/>
      <c r="M129" s="22">
        <v>109</v>
      </c>
      <c r="N129" s="239"/>
      <c r="O129" s="239"/>
      <c r="P129" s="238"/>
      <c r="Q129" s="238"/>
      <c r="R129" s="239"/>
      <c r="S129" s="239"/>
      <c r="T129" s="23"/>
      <c r="U129" s="256">
        <f t="shared" si="5"/>
        <v>0</v>
      </c>
      <c r="V129" s="257"/>
      <c r="W129"/>
      <c r="X129"/>
    </row>
    <row r="130" spans="1:24" ht="22.5" customHeight="1" x14ac:dyDescent="0.25">
      <c r="A130" s="14">
        <v>110</v>
      </c>
      <c r="B130" s="252"/>
      <c r="C130" s="252"/>
      <c r="D130" s="251"/>
      <c r="E130" s="251"/>
      <c r="F130" s="252"/>
      <c r="G130" s="252"/>
      <c r="H130" s="251"/>
      <c r="I130" s="251"/>
      <c r="J130" s="323">
        <f t="shared" si="4"/>
        <v>0</v>
      </c>
      <c r="K130" s="324"/>
      <c r="L130" s="343"/>
      <c r="M130" s="15">
        <v>110</v>
      </c>
      <c r="N130" s="260"/>
      <c r="O130" s="260"/>
      <c r="P130" s="259"/>
      <c r="Q130" s="259"/>
      <c r="R130" s="260"/>
      <c r="S130" s="260"/>
      <c r="T130" s="24"/>
      <c r="U130" s="340">
        <f t="shared" si="5"/>
        <v>0</v>
      </c>
      <c r="V130" s="341"/>
      <c r="W130"/>
      <c r="X130"/>
    </row>
    <row r="131" spans="1:24" ht="22.5" customHeight="1" x14ac:dyDescent="0.25">
      <c r="A131" s="22">
        <v>111</v>
      </c>
      <c r="B131" s="239"/>
      <c r="C131" s="239"/>
      <c r="D131" s="238"/>
      <c r="E131" s="238"/>
      <c r="F131" s="239"/>
      <c r="G131" s="239"/>
      <c r="H131" s="238"/>
      <c r="I131" s="238"/>
      <c r="J131" s="309">
        <f t="shared" si="4"/>
        <v>0</v>
      </c>
      <c r="K131" s="309"/>
      <c r="L131" s="343"/>
      <c r="M131" s="22">
        <v>111</v>
      </c>
      <c r="N131" s="239"/>
      <c r="O131" s="239"/>
      <c r="P131" s="238"/>
      <c r="Q131" s="238"/>
      <c r="R131" s="239"/>
      <c r="S131" s="239"/>
      <c r="T131" s="23"/>
      <c r="U131" s="256">
        <f t="shared" si="5"/>
        <v>0</v>
      </c>
      <c r="V131" s="257"/>
      <c r="W131"/>
      <c r="X131"/>
    </row>
    <row r="132" spans="1:24" ht="22.5" customHeight="1" x14ac:dyDescent="0.25">
      <c r="A132" s="14">
        <v>112</v>
      </c>
      <c r="B132" s="252"/>
      <c r="C132" s="252"/>
      <c r="D132" s="251"/>
      <c r="E132" s="251"/>
      <c r="F132" s="252"/>
      <c r="G132" s="252"/>
      <c r="H132" s="251"/>
      <c r="I132" s="251"/>
      <c r="J132" s="323">
        <f t="shared" si="4"/>
        <v>0</v>
      </c>
      <c r="K132" s="324"/>
      <c r="L132" s="343"/>
      <c r="M132" s="15">
        <v>112</v>
      </c>
      <c r="N132" s="260"/>
      <c r="O132" s="260"/>
      <c r="P132" s="259"/>
      <c r="Q132" s="259"/>
      <c r="R132" s="260"/>
      <c r="S132" s="260"/>
      <c r="T132" s="24"/>
      <c r="U132" s="340">
        <f t="shared" si="5"/>
        <v>0</v>
      </c>
      <c r="V132" s="341"/>
      <c r="W132"/>
      <c r="X132"/>
    </row>
    <row r="133" spans="1:24" ht="22.5" customHeight="1" x14ac:dyDescent="0.25">
      <c r="A133" s="22">
        <v>113</v>
      </c>
      <c r="B133" s="239"/>
      <c r="C133" s="239"/>
      <c r="D133" s="238"/>
      <c r="E133" s="238"/>
      <c r="F133" s="239"/>
      <c r="G133" s="239"/>
      <c r="H133" s="238"/>
      <c r="I133" s="238"/>
      <c r="J133" s="309">
        <f t="shared" si="4"/>
        <v>0</v>
      </c>
      <c r="K133" s="309"/>
      <c r="L133" s="343"/>
      <c r="M133" s="22">
        <v>113</v>
      </c>
      <c r="N133" s="239"/>
      <c r="O133" s="239"/>
      <c r="P133" s="238"/>
      <c r="Q133" s="238"/>
      <c r="R133" s="239"/>
      <c r="S133" s="239"/>
      <c r="T133" s="23"/>
      <c r="U133" s="256">
        <f t="shared" si="5"/>
        <v>0</v>
      </c>
      <c r="V133" s="257"/>
      <c r="W133"/>
      <c r="X133"/>
    </row>
    <row r="134" spans="1:24" ht="22.5" customHeight="1" x14ac:dyDescent="0.25">
      <c r="A134" s="14">
        <v>114</v>
      </c>
      <c r="B134" s="252"/>
      <c r="C134" s="252"/>
      <c r="D134" s="251"/>
      <c r="E134" s="251"/>
      <c r="F134" s="252"/>
      <c r="G134" s="252"/>
      <c r="H134" s="251"/>
      <c r="I134" s="251"/>
      <c r="J134" s="323">
        <f t="shared" si="4"/>
        <v>0</v>
      </c>
      <c r="K134" s="324"/>
      <c r="L134" s="343"/>
      <c r="M134" s="15">
        <v>114</v>
      </c>
      <c r="N134" s="260"/>
      <c r="O134" s="260"/>
      <c r="P134" s="259"/>
      <c r="Q134" s="259"/>
      <c r="R134" s="260"/>
      <c r="S134" s="260"/>
      <c r="T134" s="24"/>
      <c r="U134" s="340">
        <f t="shared" si="5"/>
        <v>0</v>
      </c>
      <c r="V134" s="341"/>
      <c r="W134"/>
      <c r="X134"/>
    </row>
    <row r="135" spans="1:24" ht="22.5" customHeight="1" x14ac:dyDescent="0.25">
      <c r="A135" s="22">
        <v>115</v>
      </c>
      <c r="B135" s="239"/>
      <c r="C135" s="239"/>
      <c r="D135" s="238"/>
      <c r="E135" s="238"/>
      <c r="F135" s="239"/>
      <c r="G135" s="239"/>
      <c r="H135" s="238"/>
      <c r="I135" s="238"/>
      <c r="J135" s="309">
        <f t="shared" si="4"/>
        <v>0</v>
      </c>
      <c r="K135" s="309"/>
      <c r="L135" s="343"/>
      <c r="M135" s="22">
        <v>115</v>
      </c>
      <c r="N135" s="239"/>
      <c r="O135" s="239"/>
      <c r="P135" s="238"/>
      <c r="Q135" s="238"/>
      <c r="R135" s="239"/>
      <c r="S135" s="239"/>
      <c r="T135" s="23"/>
      <c r="U135" s="256">
        <f t="shared" si="5"/>
        <v>0</v>
      </c>
      <c r="V135" s="257"/>
      <c r="W135"/>
      <c r="X135"/>
    </row>
    <row r="136" spans="1:24" ht="22.5" customHeight="1" x14ac:dyDescent="0.25">
      <c r="A136" s="14">
        <v>116</v>
      </c>
      <c r="B136" s="252"/>
      <c r="C136" s="252"/>
      <c r="D136" s="251"/>
      <c r="E136" s="251"/>
      <c r="F136" s="252"/>
      <c r="G136" s="252"/>
      <c r="H136" s="251"/>
      <c r="I136" s="251"/>
      <c r="J136" s="323">
        <f t="shared" si="4"/>
        <v>0</v>
      </c>
      <c r="K136" s="324"/>
      <c r="L136" s="343"/>
      <c r="M136" s="15">
        <v>116</v>
      </c>
      <c r="N136" s="260"/>
      <c r="O136" s="260"/>
      <c r="P136" s="259"/>
      <c r="Q136" s="259"/>
      <c r="R136" s="260"/>
      <c r="S136" s="260"/>
      <c r="T136" s="24"/>
      <c r="U136" s="340">
        <f t="shared" si="5"/>
        <v>0</v>
      </c>
      <c r="V136" s="341"/>
      <c r="W136"/>
      <c r="X136"/>
    </row>
    <row r="137" spans="1:24" ht="22.5" customHeight="1" x14ac:dyDescent="0.25">
      <c r="A137" s="22">
        <v>117</v>
      </c>
      <c r="B137" s="239"/>
      <c r="C137" s="239"/>
      <c r="D137" s="238"/>
      <c r="E137" s="238"/>
      <c r="F137" s="239"/>
      <c r="G137" s="239"/>
      <c r="H137" s="238"/>
      <c r="I137" s="238"/>
      <c r="J137" s="309">
        <f t="shared" si="4"/>
        <v>0</v>
      </c>
      <c r="K137" s="309"/>
      <c r="L137" s="343"/>
      <c r="M137" s="22">
        <v>117</v>
      </c>
      <c r="N137" s="239"/>
      <c r="O137" s="239"/>
      <c r="P137" s="238"/>
      <c r="Q137" s="238"/>
      <c r="R137" s="239"/>
      <c r="S137" s="239"/>
      <c r="T137" s="23"/>
      <c r="U137" s="256">
        <f t="shared" si="5"/>
        <v>0</v>
      </c>
      <c r="V137" s="257"/>
      <c r="W137"/>
      <c r="X137"/>
    </row>
    <row r="138" spans="1:24" ht="22.5" customHeight="1" x14ac:dyDescent="0.25">
      <c r="A138" s="14">
        <v>118</v>
      </c>
      <c r="B138" s="252"/>
      <c r="C138" s="252"/>
      <c r="D138" s="251"/>
      <c r="E138" s="251"/>
      <c r="F138" s="252"/>
      <c r="G138" s="252"/>
      <c r="H138" s="251"/>
      <c r="I138" s="251"/>
      <c r="J138" s="323">
        <f t="shared" si="4"/>
        <v>0</v>
      </c>
      <c r="K138" s="324"/>
      <c r="L138" s="343"/>
      <c r="M138" s="15">
        <v>118</v>
      </c>
      <c r="N138" s="260"/>
      <c r="O138" s="260"/>
      <c r="P138" s="259"/>
      <c r="Q138" s="259"/>
      <c r="R138" s="260"/>
      <c r="S138" s="260"/>
      <c r="T138" s="24"/>
      <c r="U138" s="340">
        <f t="shared" si="5"/>
        <v>0</v>
      </c>
      <c r="V138" s="341"/>
      <c r="W138"/>
      <c r="X138"/>
    </row>
    <row r="139" spans="1:24" ht="22.5" customHeight="1" x14ac:dyDescent="0.25">
      <c r="A139" s="22">
        <v>119</v>
      </c>
      <c r="B139" s="239"/>
      <c r="C139" s="239"/>
      <c r="D139" s="238"/>
      <c r="E139" s="238"/>
      <c r="F139" s="239"/>
      <c r="G139" s="239"/>
      <c r="H139" s="238"/>
      <c r="I139" s="238"/>
      <c r="J139" s="309">
        <f t="shared" si="4"/>
        <v>0</v>
      </c>
      <c r="K139" s="309"/>
      <c r="L139" s="343"/>
      <c r="M139" s="22">
        <v>119</v>
      </c>
      <c r="N139" s="239"/>
      <c r="O139" s="239"/>
      <c r="P139" s="238"/>
      <c r="Q139" s="238"/>
      <c r="R139" s="239"/>
      <c r="S139" s="239"/>
      <c r="T139" s="23"/>
      <c r="U139" s="256">
        <f t="shared" si="5"/>
        <v>0</v>
      </c>
      <c r="V139" s="257"/>
      <c r="W139"/>
      <c r="X139"/>
    </row>
    <row r="140" spans="1:24" ht="22.5" customHeight="1" x14ac:dyDescent="0.25">
      <c r="A140" s="14">
        <v>120</v>
      </c>
      <c r="B140" s="252"/>
      <c r="C140" s="252"/>
      <c r="D140" s="251"/>
      <c r="E140" s="251"/>
      <c r="F140" s="252"/>
      <c r="G140" s="252"/>
      <c r="H140" s="251"/>
      <c r="I140" s="251"/>
      <c r="J140" s="323">
        <f t="shared" si="4"/>
        <v>0</v>
      </c>
      <c r="K140" s="324"/>
      <c r="L140" s="343"/>
      <c r="M140" s="15">
        <v>120</v>
      </c>
      <c r="N140" s="260"/>
      <c r="O140" s="260"/>
      <c r="P140" s="259"/>
      <c r="Q140" s="259"/>
      <c r="R140" s="260"/>
      <c r="S140" s="260"/>
      <c r="T140" s="24"/>
      <c r="U140" s="340">
        <f t="shared" si="5"/>
        <v>0</v>
      </c>
      <c r="V140" s="341"/>
      <c r="W140"/>
      <c r="X140"/>
    </row>
    <row r="141" spans="1:24" ht="22.5" customHeight="1" x14ac:dyDescent="0.25">
      <c r="A141" s="22">
        <v>121</v>
      </c>
      <c r="B141" s="239"/>
      <c r="C141" s="239"/>
      <c r="D141" s="238"/>
      <c r="E141" s="238"/>
      <c r="F141" s="239"/>
      <c r="G141" s="239"/>
      <c r="H141" s="238"/>
      <c r="I141" s="238"/>
      <c r="J141" s="309">
        <f t="shared" si="4"/>
        <v>0</v>
      </c>
      <c r="K141" s="309"/>
      <c r="L141" s="343"/>
      <c r="M141" s="22">
        <v>121</v>
      </c>
      <c r="N141" s="239"/>
      <c r="O141" s="239"/>
      <c r="P141" s="238"/>
      <c r="Q141" s="238"/>
      <c r="R141" s="239"/>
      <c r="S141" s="239"/>
      <c r="T141" s="23"/>
      <c r="U141" s="256">
        <f t="shared" si="5"/>
        <v>0</v>
      </c>
      <c r="V141" s="257"/>
      <c r="W141"/>
      <c r="X141"/>
    </row>
    <row r="142" spans="1:24" ht="22.5" customHeight="1" x14ac:dyDescent="0.25">
      <c r="A142" s="14">
        <v>122</v>
      </c>
      <c r="B142" s="252"/>
      <c r="C142" s="252"/>
      <c r="D142" s="251"/>
      <c r="E142" s="251"/>
      <c r="F142" s="252"/>
      <c r="G142" s="252"/>
      <c r="H142" s="251"/>
      <c r="I142" s="251"/>
      <c r="J142" s="323">
        <f t="shared" si="4"/>
        <v>0</v>
      </c>
      <c r="K142" s="324"/>
      <c r="L142" s="343"/>
      <c r="M142" s="15">
        <v>122</v>
      </c>
      <c r="N142" s="260"/>
      <c r="O142" s="260"/>
      <c r="P142" s="259"/>
      <c r="Q142" s="259"/>
      <c r="R142" s="260"/>
      <c r="S142" s="260"/>
      <c r="T142" s="24"/>
      <c r="U142" s="340">
        <f t="shared" si="5"/>
        <v>0</v>
      </c>
      <c r="V142" s="341"/>
      <c r="W142"/>
      <c r="X142"/>
    </row>
    <row r="143" spans="1:24" ht="22.5" customHeight="1" x14ac:dyDescent="0.25">
      <c r="A143" s="22">
        <v>123</v>
      </c>
      <c r="B143" s="239"/>
      <c r="C143" s="239"/>
      <c r="D143" s="238"/>
      <c r="E143" s="238"/>
      <c r="F143" s="239"/>
      <c r="G143" s="239"/>
      <c r="H143" s="238"/>
      <c r="I143" s="238"/>
      <c r="J143" s="309">
        <f t="shared" si="4"/>
        <v>0</v>
      </c>
      <c r="K143" s="309"/>
      <c r="L143" s="343"/>
      <c r="M143" s="22">
        <v>123</v>
      </c>
      <c r="N143" s="239"/>
      <c r="O143" s="239"/>
      <c r="P143" s="238"/>
      <c r="Q143" s="238"/>
      <c r="R143" s="239"/>
      <c r="S143" s="239"/>
      <c r="T143" s="23"/>
      <c r="U143" s="256">
        <f t="shared" si="5"/>
        <v>0</v>
      </c>
      <c r="V143" s="257"/>
      <c r="W143"/>
      <c r="X143"/>
    </row>
    <row r="144" spans="1:24" ht="22.5" customHeight="1" x14ac:dyDescent="0.25">
      <c r="A144" s="14">
        <v>124</v>
      </c>
      <c r="B144" s="252"/>
      <c r="C144" s="252"/>
      <c r="D144" s="251"/>
      <c r="E144" s="251"/>
      <c r="F144" s="252"/>
      <c r="G144" s="252"/>
      <c r="H144" s="251"/>
      <c r="I144" s="251"/>
      <c r="J144" s="323">
        <f t="shared" si="4"/>
        <v>0</v>
      </c>
      <c r="K144" s="324"/>
      <c r="L144" s="343"/>
      <c r="M144" s="15">
        <v>124</v>
      </c>
      <c r="N144" s="260"/>
      <c r="O144" s="260"/>
      <c r="P144" s="259"/>
      <c r="Q144" s="259"/>
      <c r="R144" s="260"/>
      <c r="S144" s="260"/>
      <c r="T144" s="24"/>
      <c r="U144" s="340">
        <f t="shared" si="5"/>
        <v>0</v>
      </c>
      <c r="V144" s="341"/>
      <c r="W144"/>
      <c r="X144"/>
    </row>
    <row r="145" spans="1:24" ht="22.5" customHeight="1" x14ac:dyDescent="0.25">
      <c r="A145" s="22">
        <v>125</v>
      </c>
      <c r="B145" s="239"/>
      <c r="C145" s="239"/>
      <c r="D145" s="238"/>
      <c r="E145" s="238"/>
      <c r="F145" s="239"/>
      <c r="G145" s="239"/>
      <c r="H145" s="238"/>
      <c r="I145" s="238"/>
      <c r="J145" s="309">
        <f t="shared" si="4"/>
        <v>0</v>
      </c>
      <c r="K145" s="309"/>
      <c r="L145" s="343"/>
      <c r="M145" s="22">
        <v>125</v>
      </c>
      <c r="N145" s="239"/>
      <c r="O145" s="239"/>
      <c r="P145" s="238"/>
      <c r="Q145" s="238"/>
      <c r="R145" s="239"/>
      <c r="S145" s="239"/>
      <c r="T145" s="23"/>
      <c r="U145" s="256">
        <f t="shared" si="5"/>
        <v>0</v>
      </c>
      <c r="V145" s="257"/>
      <c r="W145"/>
      <c r="X145"/>
    </row>
    <row r="146" spans="1:24" ht="22.5" customHeight="1" x14ac:dyDescent="0.25">
      <c r="A146" s="14">
        <v>126</v>
      </c>
      <c r="B146" s="252"/>
      <c r="C146" s="252"/>
      <c r="D146" s="251"/>
      <c r="E146" s="251"/>
      <c r="F146" s="252"/>
      <c r="G146" s="252"/>
      <c r="H146" s="251"/>
      <c r="I146" s="251"/>
      <c r="J146" s="323">
        <f t="shared" si="4"/>
        <v>0</v>
      </c>
      <c r="K146" s="324"/>
      <c r="L146" s="343"/>
      <c r="M146" s="15">
        <v>126</v>
      </c>
      <c r="N146" s="260"/>
      <c r="O146" s="260"/>
      <c r="P146" s="259"/>
      <c r="Q146" s="259"/>
      <c r="R146" s="260"/>
      <c r="S146" s="260"/>
      <c r="T146" s="24"/>
      <c r="U146" s="340">
        <f t="shared" si="5"/>
        <v>0</v>
      </c>
      <c r="V146" s="341"/>
      <c r="W146"/>
      <c r="X146"/>
    </row>
    <row r="147" spans="1:24" ht="22.5" customHeight="1" x14ac:dyDescent="0.25">
      <c r="A147" s="22">
        <v>127</v>
      </c>
      <c r="B147" s="239"/>
      <c r="C147" s="239"/>
      <c r="D147" s="238"/>
      <c r="E147" s="238"/>
      <c r="F147" s="239"/>
      <c r="G147" s="239"/>
      <c r="H147" s="238"/>
      <c r="I147" s="238"/>
      <c r="J147" s="309">
        <f t="shared" si="4"/>
        <v>0</v>
      </c>
      <c r="K147" s="309"/>
      <c r="L147" s="343"/>
      <c r="M147" s="22">
        <v>127</v>
      </c>
      <c r="N147" s="239"/>
      <c r="O147" s="239"/>
      <c r="P147" s="238"/>
      <c r="Q147" s="238"/>
      <c r="R147" s="239"/>
      <c r="S147" s="239"/>
      <c r="T147" s="23"/>
      <c r="U147" s="256">
        <f t="shared" si="5"/>
        <v>0</v>
      </c>
      <c r="V147" s="257"/>
      <c r="W147"/>
      <c r="X147"/>
    </row>
    <row r="148" spans="1:24" ht="22.5" customHeight="1" x14ac:dyDescent="0.25">
      <c r="A148" s="14">
        <v>128</v>
      </c>
      <c r="B148" s="252"/>
      <c r="C148" s="252"/>
      <c r="D148" s="251"/>
      <c r="E148" s="251"/>
      <c r="F148" s="252"/>
      <c r="G148" s="252"/>
      <c r="H148" s="251"/>
      <c r="I148" s="251"/>
      <c r="J148" s="323">
        <f t="shared" si="4"/>
        <v>0</v>
      </c>
      <c r="K148" s="324"/>
      <c r="L148" s="343"/>
      <c r="M148" s="15">
        <v>128</v>
      </c>
      <c r="N148" s="260"/>
      <c r="O148" s="260"/>
      <c r="P148" s="259"/>
      <c r="Q148" s="259"/>
      <c r="R148" s="260"/>
      <c r="S148" s="260"/>
      <c r="T148" s="24"/>
      <c r="U148" s="340">
        <f t="shared" si="5"/>
        <v>0</v>
      </c>
      <c r="V148" s="341"/>
      <c r="W148"/>
      <c r="X148"/>
    </row>
    <row r="149" spans="1:24" ht="22.5" customHeight="1" x14ac:dyDescent="0.25">
      <c r="A149" s="22">
        <v>129</v>
      </c>
      <c r="B149" s="239"/>
      <c r="C149" s="239"/>
      <c r="D149" s="238"/>
      <c r="E149" s="238"/>
      <c r="F149" s="239"/>
      <c r="G149" s="239"/>
      <c r="H149" s="238"/>
      <c r="I149" s="238"/>
      <c r="J149" s="309">
        <f t="shared" si="4"/>
        <v>0</v>
      </c>
      <c r="K149" s="309"/>
      <c r="L149" s="343"/>
      <c r="M149" s="22">
        <v>129</v>
      </c>
      <c r="N149" s="239"/>
      <c r="O149" s="239"/>
      <c r="P149" s="238"/>
      <c r="Q149" s="238"/>
      <c r="R149" s="239"/>
      <c r="S149" s="239"/>
      <c r="T149" s="23"/>
      <c r="U149" s="256">
        <f t="shared" si="5"/>
        <v>0</v>
      </c>
      <c r="V149" s="257"/>
      <c r="W149"/>
      <c r="X149"/>
    </row>
    <row r="150" spans="1:24" ht="22.5" customHeight="1" x14ac:dyDescent="0.25">
      <c r="A150" s="14">
        <v>130</v>
      </c>
      <c r="B150" s="252"/>
      <c r="C150" s="252"/>
      <c r="D150" s="251"/>
      <c r="E150" s="251"/>
      <c r="F150" s="252"/>
      <c r="G150" s="252"/>
      <c r="H150" s="251"/>
      <c r="I150" s="251"/>
      <c r="J150" s="323">
        <f t="shared" ref="J150:J213" si="6">D150*F150+H150</f>
        <v>0</v>
      </c>
      <c r="K150" s="324"/>
      <c r="L150" s="343"/>
      <c r="M150" s="15">
        <v>130</v>
      </c>
      <c r="N150" s="260"/>
      <c r="O150" s="260"/>
      <c r="P150" s="259"/>
      <c r="Q150" s="259"/>
      <c r="R150" s="260"/>
      <c r="S150" s="260"/>
      <c r="T150" s="24"/>
      <c r="U150" s="340">
        <f t="shared" si="5"/>
        <v>0</v>
      </c>
      <c r="V150" s="341"/>
      <c r="W150"/>
      <c r="X150"/>
    </row>
    <row r="151" spans="1:24" ht="22.5" customHeight="1" x14ac:dyDescent="0.25">
      <c r="A151" s="22">
        <v>131</v>
      </c>
      <c r="B151" s="239"/>
      <c r="C151" s="239"/>
      <c r="D151" s="238"/>
      <c r="E151" s="238"/>
      <c r="F151" s="239"/>
      <c r="G151" s="239"/>
      <c r="H151" s="238"/>
      <c r="I151" s="238"/>
      <c r="J151" s="309">
        <f t="shared" si="6"/>
        <v>0</v>
      </c>
      <c r="K151" s="309"/>
      <c r="L151" s="343"/>
      <c r="M151" s="22">
        <v>131</v>
      </c>
      <c r="N151" s="239"/>
      <c r="O151" s="239"/>
      <c r="P151" s="238"/>
      <c r="Q151" s="238"/>
      <c r="R151" s="239"/>
      <c r="S151" s="239"/>
      <c r="T151" s="23"/>
      <c r="U151" s="256">
        <f t="shared" ref="U151:U170" si="7">P151+R151</f>
        <v>0</v>
      </c>
      <c r="V151" s="257"/>
      <c r="W151"/>
      <c r="X151"/>
    </row>
    <row r="152" spans="1:24" ht="22.5" customHeight="1" x14ac:dyDescent="0.25">
      <c r="A152" s="14">
        <v>132</v>
      </c>
      <c r="B152" s="252"/>
      <c r="C152" s="252"/>
      <c r="D152" s="251"/>
      <c r="E152" s="251"/>
      <c r="F152" s="252"/>
      <c r="G152" s="252"/>
      <c r="H152" s="251"/>
      <c r="I152" s="251"/>
      <c r="J152" s="323">
        <f t="shared" si="6"/>
        <v>0</v>
      </c>
      <c r="K152" s="324"/>
      <c r="L152" s="343"/>
      <c r="M152" s="15">
        <v>132</v>
      </c>
      <c r="N152" s="260"/>
      <c r="O152" s="260"/>
      <c r="P152" s="259"/>
      <c r="Q152" s="259"/>
      <c r="R152" s="260"/>
      <c r="S152" s="260"/>
      <c r="T152" s="24"/>
      <c r="U152" s="340">
        <f t="shared" si="7"/>
        <v>0</v>
      </c>
      <c r="V152" s="341"/>
      <c r="W152"/>
      <c r="X152"/>
    </row>
    <row r="153" spans="1:24" ht="22.5" customHeight="1" x14ac:dyDescent="0.25">
      <c r="A153" s="22">
        <v>133</v>
      </c>
      <c r="B153" s="239"/>
      <c r="C153" s="239"/>
      <c r="D153" s="238"/>
      <c r="E153" s="238"/>
      <c r="F153" s="239"/>
      <c r="G153" s="239"/>
      <c r="H153" s="238"/>
      <c r="I153" s="238"/>
      <c r="J153" s="309">
        <f t="shared" si="6"/>
        <v>0</v>
      </c>
      <c r="K153" s="309"/>
      <c r="L153" s="343"/>
      <c r="M153" s="22">
        <v>133</v>
      </c>
      <c r="N153" s="239"/>
      <c r="O153" s="239"/>
      <c r="P153" s="238"/>
      <c r="Q153" s="238"/>
      <c r="R153" s="239"/>
      <c r="S153" s="239"/>
      <c r="T153" s="23"/>
      <c r="U153" s="256">
        <f t="shared" si="7"/>
        <v>0</v>
      </c>
      <c r="V153" s="257"/>
      <c r="W153"/>
      <c r="X153"/>
    </row>
    <row r="154" spans="1:24" ht="22.5" customHeight="1" x14ac:dyDescent="0.25">
      <c r="A154" s="14">
        <v>134</v>
      </c>
      <c r="B154" s="252"/>
      <c r="C154" s="252"/>
      <c r="D154" s="251"/>
      <c r="E154" s="251"/>
      <c r="F154" s="252"/>
      <c r="G154" s="252"/>
      <c r="H154" s="251"/>
      <c r="I154" s="251"/>
      <c r="J154" s="323">
        <f t="shared" si="6"/>
        <v>0</v>
      </c>
      <c r="K154" s="324"/>
      <c r="L154" s="343"/>
      <c r="M154" s="15">
        <v>134</v>
      </c>
      <c r="N154" s="260"/>
      <c r="O154" s="260"/>
      <c r="P154" s="259"/>
      <c r="Q154" s="259"/>
      <c r="R154" s="260"/>
      <c r="S154" s="260"/>
      <c r="T154" s="24"/>
      <c r="U154" s="340">
        <f t="shared" si="7"/>
        <v>0</v>
      </c>
      <c r="V154" s="341"/>
      <c r="W154"/>
      <c r="X154"/>
    </row>
    <row r="155" spans="1:24" ht="22.5" customHeight="1" x14ac:dyDescent="0.25">
      <c r="A155" s="22">
        <v>135</v>
      </c>
      <c r="B155" s="239"/>
      <c r="C155" s="239"/>
      <c r="D155" s="238"/>
      <c r="E155" s="238"/>
      <c r="F155" s="239"/>
      <c r="G155" s="239"/>
      <c r="H155" s="238"/>
      <c r="I155" s="238"/>
      <c r="J155" s="309">
        <f t="shared" si="6"/>
        <v>0</v>
      </c>
      <c r="K155" s="309"/>
      <c r="L155" s="343"/>
      <c r="M155" s="22">
        <v>135</v>
      </c>
      <c r="N155" s="239"/>
      <c r="O155" s="239"/>
      <c r="P155" s="238"/>
      <c r="Q155" s="238"/>
      <c r="R155" s="239"/>
      <c r="S155" s="239"/>
      <c r="T155" s="23"/>
      <c r="U155" s="256">
        <f t="shared" si="7"/>
        <v>0</v>
      </c>
      <c r="V155" s="257"/>
      <c r="W155"/>
      <c r="X155"/>
    </row>
    <row r="156" spans="1:24" ht="22.5" customHeight="1" x14ac:dyDescent="0.25">
      <c r="A156" s="14">
        <v>136</v>
      </c>
      <c r="B156" s="252"/>
      <c r="C156" s="252"/>
      <c r="D156" s="251"/>
      <c r="E156" s="251"/>
      <c r="F156" s="252"/>
      <c r="G156" s="252"/>
      <c r="H156" s="251"/>
      <c r="I156" s="251"/>
      <c r="J156" s="323">
        <f t="shared" si="6"/>
        <v>0</v>
      </c>
      <c r="K156" s="324"/>
      <c r="L156" s="343"/>
      <c r="M156" s="15">
        <v>136</v>
      </c>
      <c r="N156" s="260"/>
      <c r="O156" s="260"/>
      <c r="P156" s="259"/>
      <c r="Q156" s="259"/>
      <c r="R156" s="260"/>
      <c r="S156" s="260"/>
      <c r="T156" s="24"/>
      <c r="U156" s="340">
        <f t="shared" si="7"/>
        <v>0</v>
      </c>
      <c r="V156" s="341"/>
      <c r="W156"/>
      <c r="X156"/>
    </row>
    <row r="157" spans="1:24" ht="22.5" customHeight="1" x14ac:dyDescent="0.25">
      <c r="A157" s="22">
        <v>137</v>
      </c>
      <c r="B157" s="239"/>
      <c r="C157" s="239"/>
      <c r="D157" s="238"/>
      <c r="E157" s="238"/>
      <c r="F157" s="239"/>
      <c r="G157" s="239"/>
      <c r="H157" s="238"/>
      <c r="I157" s="238"/>
      <c r="J157" s="309">
        <f t="shared" si="6"/>
        <v>0</v>
      </c>
      <c r="K157" s="309"/>
      <c r="L157" s="343"/>
      <c r="M157" s="22">
        <v>137</v>
      </c>
      <c r="N157" s="239"/>
      <c r="O157" s="239"/>
      <c r="P157" s="238"/>
      <c r="Q157" s="238"/>
      <c r="R157" s="239"/>
      <c r="S157" s="239"/>
      <c r="T157" s="23"/>
      <c r="U157" s="256">
        <f t="shared" si="7"/>
        <v>0</v>
      </c>
      <c r="V157" s="257"/>
      <c r="W157"/>
      <c r="X157"/>
    </row>
    <row r="158" spans="1:24" ht="22.5" customHeight="1" x14ac:dyDescent="0.25">
      <c r="A158" s="14">
        <v>138</v>
      </c>
      <c r="B158" s="252"/>
      <c r="C158" s="252"/>
      <c r="D158" s="251"/>
      <c r="E158" s="251"/>
      <c r="F158" s="252"/>
      <c r="G158" s="252"/>
      <c r="H158" s="251"/>
      <c r="I158" s="251"/>
      <c r="J158" s="323">
        <f t="shared" si="6"/>
        <v>0</v>
      </c>
      <c r="K158" s="324"/>
      <c r="L158" s="343"/>
      <c r="M158" s="15">
        <v>138</v>
      </c>
      <c r="N158" s="260"/>
      <c r="O158" s="260"/>
      <c r="P158" s="259"/>
      <c r="Q158" s="259"/>
      <c r="R158" s="260"/>
      <c r="S158" s="260"/>
      <c r="T158" s="24"/>
      <c r="U158" s="340">
        <f t="shared" si="7"/>
        <v>0</v>
      </c>
      <c r="V158" s="341"/>
      <c r="W158"/>
      <c r="X158"/>
    </row>
    <row r="159" spans="1:24" ht="22.5" customHeight="1" x14ac:dyDescent="0.25">
      <c r="A159" s="22">
        <v>139</v>
      </c>
      <c r="B159" s="239"/>
      <c r="C159" s="239"/>
      <c r="D159" s="238"/>
      <c r="E159" s="238"/>
      <c r="F159" s="239"/>
      <c r="G159" s="239"/>
      <c r="H159" s="238"/>
      <c r="I159" s="238"/>
      <c r="J159" s="309">
        <f t="shared" si="6"/>
        <v>0</v>
      </c>
      <c r="K159" s="309"/>
      <c r="L159" s="343"/>
      <c r="M159" s="22">
        <v>139</v>
      </c>
      <c r="N159" s="239"/>
      <c r="O159" s="239"/>
      <c r="P159" s="238"/>
      <c r="Q159" s="238"/>
      <c r="R159" s="239"/>
      <c r="S159" s="239"/>
      <c r="T159" s="23"/>
      <c r="U159" s="256">
        <f t="shared" si="7"/>
        <v>0</v>
      </c>
      <c r="V159" s="257"/>
      <c r="W159"/>
      <c r="X159"/>
    </row>
    <row r="160" spans="1:24" ht="22.5" customHeight="1" x14ac:dyDescent="0.25">
      <c r="A160" s="14">
        <v>140</v>
      </c>
      <c r="B160" s="252"/>
      <c r="C160" s="252"/>
      <c r="D160" s="251"/>
      <c r="E160" s="251"/>
      <c r="F160" s="252"/>
      <c r="G160" s="252"/>
      <c r="H160" s="251"/>
      <c r="I160" s="251"/>
      <c r="J160" s="323">
        <f t="shared" si="6"/>
        <v>0</v>
      </c>
      <c r="K160" s="324"/>
      <c r="L160" s="343"/>
      <c r="M160" s="15">
        <v>140</v>
      </c>
      <c r="N160" s="260"/>
      <c r="O160" s="260"/>
      <c r="P160" s="259"/>
      <c r="Q160" s="259"/>
      <c r="R160" s="260"/>
      <c r="S160" s="260"/>
      <c r="T160" s="24"/>
      <c r="U160" s="340">
        <f t="shared" si="7"/>
        <v>0</v>
      </c>
      <c r="V160" s="341"/>
      <c r="W160"/>
      <c r="X160"/>
    </row>
    <row r="161" spans="1:24" ht="22.5" customHeight="1" x14ac:dyDescent="0.25">
      <c r="A161" s="22">
        <v>141</v>
      </c>
      <c r="B161" s="239"/>
      <c r="C161" s="239"/>
      <c r="D161" s="238"/>
      <c r="E161" s="238"/>
      <c r="F161" s="239"/>
      <c r="G161" s="239"/>
      <c r="H161" s="238"/>
      <c r="I161" s="238"/>
      <c r="J161" s="309">
        <f t="shared" si="6"/>
        <v>0</v>
      </c>
      <c r="K161" s="309"/>
      <c r="L161" s="343"/>
      <c r="M161" s="22">
        <v>141</v>
      </c>
      <c r="N161" s="239"/>
      <c r="O161" s="239"/>
      <c r="P161" s="238"/>
      <c r="Q161" s="238"/>
      <c r="R161" s="239"/>
      <c r="S161" s="239"/>
      <c r="T161" s="23"/>
      <c r="U161" s="256">
        <f t="shared" si="7"/>
        <v>0</v>
      </c>
      <c r="V161" s="257"/>
      <c r="W161"/>
      <c r="X161"/>
    </row>
    <row r="162" spans="1:24" ht="22.5" customHeight="1" x14ac:dyDescent="0.25">
      <c r="A162" s="14">
        <v>142</v>
      </c>
      <c r="B162" s="252"/>
      <c r="C162" s="252"/>
      <c r="D162" s="251"/>
      <c r="E162" s="251"/>
      <c r="F162" s="252"/>
      <c r="G162" s="252"/>
      <c r="H162" s="251"/>
      <c r="I162" s="251"/>
      <c r="J162" s="323">
        <f t="shared" si="6"/>
        <v>0</v>
      </c>
      <c r="K162" s="324"/>
      <c r="L162" s="343"/>
      <c r="M162" s="15">
        <v>142</v>
      </c>
      <c r="N162" s="260"/>
      <c r="O162" s="260"/>
      <c r="P162" s="259"/>
      <c r="Q162" s="259"/>
      <c r="R162" s="260"/>
      <c r="S162" s="260"/>
      <c r="T162" s="24"/>
      <c r="U162" s="340">
        <f t="shared" si="7"/>
        <v>0</v>
      </c>
      <c r="V162" s="341"/>
      <c r="W162"/>
      <c r="X162"/>
    </row>
    <row r="163" spans="1:24" ht="22.5" customHeight="1" x14ac:dyDescent="0.25">
      <c r="A163" s="22">
        <v>143</v>
      </c>
      <c r="B163" s="239"/>
      <c r="C163" s="239"/>
      <c r="D163" s="238"/>
      <c r="E163" s="238"/>
      <c r="F163" s="239"/>
      <c r="G163" s="239"/>
      <c r="H163" s="238"/>
      <c r="I163" s="238"/>
      <c r="J163" s="309">
        <f t="shared" si="6"/>
        <v>0</v>
      </c>
      <c r="K163" s="309"/>
      <c r="L163" s="343"/>
      <c r="M163" s="22">
        <v>143</v>
      </c>
      <c r="N163" s="239"/>
      <c r="O163" s="239"/>
      <c r="P163" s="238"/>
      <c r="Q163" s="238"/>
      <c r="R163" s="239"/>
      <c r="S163" s="239"/>
      <c r="T163" s="23"/>
      <c r="U163" s="256">
        <f t="shared" si="7"/>
        <v>0</v>
      </c>
      <c r="V163" s="257"/>
      <c r="W163"/>
      <c r="X163"/>
    </row>
    <row r="164" spans="1:24" ht="22.5" customHeight="1" x14ac:dyDescent="0.25">
      <c r="A164" s="14">
        <v>144</v>
      </c>
      <c r="B164" s="252"/>
      <c r="C164" s="252"/>
      <c r="D164" s="251"/>
      <c r="E164" s="251"/>
      <c r="F164" s="252"/>
      <c r="G164" s="252"/>
      <c r="H164" s="251"/>
      <c r="I164" s="251"/>
      <c r="J164" s="323">
        <f t="shared" si="6"/>
        <v>0</v>
      </c>
      <c r="K164" s="324"/>
      <c r="L164" s="343"/>
      <c r="M164" s="15">
        <v>144</v>
      </c>
      <c r="N164" s="260"/>
      <c r="O164" s="260"/>
      <c r="P164" s="259"/>
      <c r="Q164" s="259"/>
      <c r="R164" s="260"/>
      <c r="S164" s="260"/>
      <c r="T164" s="24"/>
      <c r="U164" s="340">
        <f t="shared" si="7"/>
        <v>0</v>
      </c>
      <c r="V164" s="341"/>
      <c r="W164"/>
      <c r="X164"/>
    </row>
    <row r="165" spans="1:24" ht="22.5" customHeight="1" x14ac:dyDescent="0.25">
      <c r="A165" s="22">
        <v>145</v>
      </c>
      <c r="B165" s="239"/>
      <c r="C165" s="239"/>
      <c r="D165" s="238"/>
      <c r="E165" s="238"/>
      <c r="F165" s="239"/>
      <c r="G165" s="239"/>
      <c r="H165" s="238"/>
      <c r="I165" s="238"/>
      <c r="J165" s="309">
        <f t="shared" si="6"/>
        <v>0</v>
      </c>
      <c r="K165" s="309"/>
      <c r="L165" s="343"/>
      <c r="M165" s="22">
        <v>145</v>
      </c>
      <c r="N165" s="239"/>
      <c r="O165" s="239"/>
      <c r="P165" s="238"/>
      <c r="Q165" s="238"/>
      <c r="R165" s="239"/>
      <c r="S165" s="239"/>
      <c r="T165" s="23"/>
      <c r="U165" s="256">
        <f t="shared" si="7"/>
        <v>0</v>
      </c>
      <c r="V165" s="257"/>
      <c r="W165"/>
      <c r="X165"/>
    </row>
    <row r="166" spans="1:24" ht="22.5" customHeight="1" x14ac:dyDescent="0.25">
      <c r="A166" s="14">
        <v>146</v>
      </c>
      <c r="B166" s="252"/>
      <c r="C166" s="252"/>
      <c r="D166" s="251"/>
      <c r="E166" s="251"/>
      <c r="F166" s="252"/>
      <c r="G166" s="252"/>
      <c r="H166" s="251"/>
      <c r="I166" s="251"/>
      <c r="J166" s="323">
        <f t="shared" si="6"/>
        <v>0</v>
      </c>
      <c r="K166" s="324"/>
      <c r="L166" s="343"/>
      <c r="M166" s="15">
        <v>146</v>
      </c>
      <c r="N166" s="260"/>
      <c r="O166" s="260"/>
      <c r="P166" s="259"/>
      <c r="Q166" s="259"/>
      <c r="R166" s="260"/>
      <c r="S166" s="260"/>
      <c r="T166" s="24"/>
      <c r="U166" s="340">
        <f t="shared" si="7"/>
        <v>0</v>
      </c>
      <c r="V166" s="341"/>
      <c r="W166"/>
      <c r="X166"/>
    </row>
    <row r="167" spans="1:24" ht="22.5" customHeight="1" x14ac:dyDescent="0.25">
      <c r="A167" s="22">
        <v>147</v>
      </c>
      <c r="B167" s="239"/>
      <c r="C167" s="239"/>
      <c r="D167" s="238"/>
      <c r="E167" s="238"/>
      <c r="F167" s="239"/>
      <c r="G167" s="239"/>
      <c r="H167" s="238"/>
      <c r="I167" s="238"/>
      <c r="J167" s="309">
        <f t="shared" si="6"/>
        <v>0</v>
      </c>
      <c r="K167" s="309"/>
      <c r="L167" s="343"/>
      <c r="M167" s="22">
        <v>147</v>
      </c>
      <c r="N167" s="239"/>
      <c r="O167" s="239"/>
      <c r="P167" s="238"/>
      <c r="Q167" s="238"/>
      <c r="R167" s="239"/>
      <c r="S167" s="239"/>
      <c r="T167" s="23"/>
      <c r="U167" s="256">
        <f t="shared" si="7"/>
        <v>0</v>
      </c>
      <c r="V167" s="257"/>
      <c r="W167"/>
      <c r="X167"/>
    </row>
    <row r="168" spans="1:24" ht="22.5" customHeight="1" x14ac:dyDescent="0.25">
      <c r="A168" s="14">
        <v>148</v>
      </c>
      <c r="B168" s="252"/>
      <c r="C168" s="252"/>
      <c r="D168" s="251"/>
      <c r="E168" s="251"/>
      <c r="F168" s="252"/>
      <c r="G168" s="252"/>
      <c r="H168" s="251"/>
      <c r="I168" s="251"/>
      <c r="J168" s="323">
        <f t="shared" si="6"/>
        <v>0</v>
      </c>
      <c r="K168" s="324"/>
      <c r="L168" s="343"/>
      <c r="M168" s="15">
        <v>148</v>
      </c>
      <c r="N168" s="260"/>
      <c r="O168" s="260"/>
      <c r="P168" s="259"/>
      <c r="Q168" s="259"/>
      <c r="R168" s="260"/>
      <c r="S168" s="260"/>
      <c r="T168" s="24"/>
      <c r="U168" s="340">
        <f t="shared" si="7"/>
        <v>0</v>
      </c>
      <c r="V168" s="341"/>
      <c r="W168"/>
      <c r="X168"/>
    </row>
    <row r="169" spans="1:24" ht="22.5" customHeight="1" x14ac:dyDescent="0.25">
      <c r="A169" s="22">
        <v>149</v>
      </c>
      <c r="B169" s="239"/>
      <c r="C169" s="239"/>
      <c r="D169" s="238"/>
      <c r="E169" s="238"/>
      <c r="F169" s="239"/>
      <c r="G169" s="239"/>
      <c r="H169" s="238"/>
      <c r="I169" s="238"/>
      <c r="J169" s="309">
        <f t="shared" si="6"/>
        <v>0</v>
      </c>
      <c r="K169" s="309"/>
      <c r="L169" s="343"/>
      <c r="M169" s="22">
        <v>149</v>
      </c>
      <c r="N169" s="239"/>
      <c r="O169" s="239"/>
      <c r="P169" s="238"/>
      <c r="Q169" s="238"/>
      <c r="R169" s="239"/>
      <c r="S169" s="239"/>
      <c r="T169" s="23"/>
      <c r="U169" s="256">
        <f t="shared" si="7"/>
        <v>0</v>
      </c>
      <c r="V169" s="257"/>
      <c r="W169"/>
      <c r="X169"/>
    </row>
    <row r="170" spans="1:24" ht="22.5" customHeight="1" x14ac:dyDescent="0.25">
      <c r="A170" s="14">
        <v>150</v>
      </c>
      <c r="B170" s="252"/>
      <c r="C170" s="252"/>
      <c r="D170" s="251"/>
      <c r="E170" s="251"/>
      <c r="F170" s="252"/>
      <c r="G170" s="252"/>
      <c r="H170" s="251"/>
      <c r="I170" s="251"/>
      <c r="J170" s="323">
        <f t="shared" si="6"/>
        <v>0</v>
      </c>
      <c r="K170" s="324"/>
      <c r="L170" s="343"/>
      <c r="M170" s="15">
        <v>150</v>
      </c>
      <c r="N170" s="260"/>
      <c r="O170" s="260"/>
      <c r="P170" s="259"/>
      <c r="Q170" s="259"/>
      <c r="R170" s="260"/>
      <c r="S170" s="260"/>
      <c r="T170" s="24"/>
      <c r="U170" s="340">
        <f t="shared" si="7"/>
        <v>0</v>
      </c>
      <c r="V170" s="341"/>
      <c r="W170"/>
      <c r="X170"/>
    </row>
    <row r="171" spans="1:24" ht="22.5" customHeight="1" x14ac:dyDescent="0.25">
      <c r="A171" s="22">
        <v>151</v>
      </c>
      <c r="B171" s="239"/>
      <c r="C171" s="239"/>
      <c r="D171" s="238"/>
      <c r="E171" s="238"/>
      <c r="F171" s="239"/>
      <c r="G171" s="239"/>
      <c r="H171" s="238"/>
      <c r="I171" s="238"/>
      <c r="J171" s="309">
        <f t="shared" si="6"/>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6"/>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6"/>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6"/>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6"/>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6"/>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6"/>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6"/>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6"/>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6"/>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6"/>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6"/>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6"/>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6"/>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6"/>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6"/>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6"/>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6"/>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6"/>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6"/>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6"/>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6"/>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6"/>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6"/>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6"/>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6"/>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6"/>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6"/>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6"/>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6"/>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6"/>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6"/>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6"/>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6"/>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6"/>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6"/>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6"/>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6"/>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6"/>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6"/>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6"/>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6"/>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6"/>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8">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8"/>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8"/>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8"/>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8"/>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8"/>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8"/>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7MjQmOIJ4YSwpQejFoAXZt8mH8MHxffSf703D67olo2hvwz9i54jDQ44a98RtJ+W6yF0XptDiT5KXrJCxcqB1A==" saltValue="UegasjSRlI5FZ3Q2t2tBDw=="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{19FC0CFC-8663-476C-ACF5-3BE8154A6204}</x14:id>
        </ext>
      </extLst>
    </cfRule>
  </conditionalFormatting>
  <conditionalFormatting sqref="U10:X11">
    <cfRule type="cellIs" dxfId="47" priority="3" operator="greaterThan">
      <formula>0</formula>
    </cfRule>
    <cfRule type="cellIs" dxfId="46" priority="4" operator="lessThan">
      <formula>0</formula>
    </cfRule>
  </conditionalFormatting>
  <conditionalFormatting sqref="F10:H11">
    <cfRule type="cellIs" dxfId="45" priority="1" operator="greaterThan">
      <formula>0</formula>
    </cfRule>
    <cfRule type="cellIs" dxfId="44"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19FC0CFC-8663-476C-ACF5-3BE8154A6204}">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AA263"/>
  <sheetViews>
    <sheetView showGridLines="0" zoomScale="70" zoomScaleNormal="70" workbookViewId="0">
      <selection activeCell="B31" sqref="B31:C31"/>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764</v>
      </c>
      <c r="B1" s="262"/>
      <c r="C1" s="313" t="str">
        <f>'Hisse İsimleri'!B6</f>
        <v>SASA</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131</v>
      </c>
      <c r="G4" s="271"/>
      <c r="H4" s="272"/>
      <c r="I4" s="267" t="s">
        <v>13</v>
      </c>
      <c r="J4" s="268"/>
      <c r="K4" s="268"/>
      <c r="L4" s="268"/>
      <c r="M4" s="268"/>
      <c r="N4" s="275" t="e">
        <f>AVERAGE(T21:T170)</f>
        <v>#DIV/0!</v>
      </c>
      <c r="O4" s="275"/>
      <c r="P4" s="276"/>
      <c r="Q4" s="267" t="s">
        <v>673</v>
      </c>
      <c r="R4" s="268"/>
      <c r="S4" s="268"/>
      <c r="T4" s="268"/>
      <c r="U4" s="279">
        <f>F8*F4</f>
        <v>14252.8</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1000</v>
      </c>
      <c r="G6" s="208"/>
      <c r="H6" s="209"/>
      <c r="I6" s="269" t="s">
        <v>674</v>
      </c>
      <c r="J6" s="270"/>
      <c r="K6" s="270"/>
      <c r="L6" s="270"/>
      <c r="M6" s="270"/>
      <c r="N6" s="282">
        <f>U6/F4</f>
        <v>65.114243358778623</v>
      </c>
      <c r="O6" s="282"/>
      <c r="P6" s="284"/>
      <c r="Q6" s="269" t="s">
        <v>675</v>
      </c>
      <c r="R6" s="270"/>
      <c r="S6" s="270"/>
      <c r="T6" s="270"/>
      <c r="U6" s="282">
        <f>SUM(J21:K220)-SUM(U21:U170)</f>
        <v>8529.9658799999997</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İsimleri'!D6</f>
        <v>108.8</v>
      </c>
      <c r="G8" s="282"/>
      <c r="H8" s="284"/>
      <c r="I8" s="269" t="s">
        <v>677</v>
      </c>
      <c r="J8" s="270"/>
      <c r="K8" s="270"/>
      <c r="L8" s="270"/>
      <c r="M8" s="270"/>
      <c r="N8" s="282">
        <f>SUM(U21:U170)</f>
        <v>0</v>
      </c>
      <c r="O8" s="282"/>
      <c r="P8" s="284"/>
      <c r="Q8" s="295" t="s">
        <v>678</v>
      </c>
      <c r="R8" s="296"/>
      <c r="S8" s="296"/>
      <c r="T8" s="297"/>
      <c r="U8" s="301">
        <f>SUM(H21:I220)</f>
        <v>17.025880000000001</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İsimleri'!E6</f>
        <v>-2.6000000000000002E-2</v>
      </c>
      <c r="G10" s="287"/>
      <c r="H10" s="288"/>
      <c r="I10" s="269" t="s">
        <v>710</v>
      </c>
      <c r="J10" s="270"/>
      <c r="K10" s="270"/>
      <c r="L10" s="270"/>
      <c r="M10" s="270"/>
      <c r="N10" s="291">
        <f>U10/U6</f>
        <v>0.67090938000328781</v>
      </c>
      <c r="O10" s="291"/>
      <c r="P10" s="292"/>
      <c r="Q10" s="295" t="s">
        <v>587</v>
      </c>
      <c r="R10" s="296"/>
      <c r="S10" s="296"/>
      <c r="T10" s="297"/>
      <c r="U10" s="301">
        <f>U4-U6</f>
        <v>5722.8341199999995</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13.1</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31.148</v>
      </c>
      <c r="E21" s="238"/>
      <c r="F21" s="239">
        <v>30</v>
      </c>
      <c r="G21" s="239"/>
      <c r="H21" s="307">
        <f t="shared" ref="H21:H30" si="0">(D21*F21)*(2/1000)</f>
        <v>1.8688799999999999</v>
      </c>
      <c r="I21" s="308"/>
      <c r="J21" s="309">
        <f>D21*F21+H21</f>
        <v>936.30887999999993</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0">
        <v>44682</v>
      </c>
      <c r="C22" s="252"/>
      <c r="D22" s="251">
        <v>31.88</v>
      </c>
      <c r="E22" s="251"/>
      <c r="F22" s="252">
        <v>10</v>
      </c>
      <c r="G22" s="252"/>
      <c r="H22" s="251">
        <f t="shared" si="0"/>
        <v>0.63760000000000006</v>
      </c>
      <c r="I22" s="251"/>
      <c r="J22" s="323">
        <f t="shared" ref="J22:J85" si="1">D22*F22+H22</f>
        <v>319.43760000000003</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45.9</v>
      </c>
      <c r="E23" s="238"/>
      <c r="F23" s="239">
        <v>10</v>
      </c>
      <c r="G23" s="239"/>
      <c r="H23" s="307">
        <f t="shared" si="0"/>
        <v>0.91800000000000004</v>
      </c>
      <c r="I23" s="308"/>
      <c r="J23" s="309">
        <f t="shared" si="1"/>
        <v>459.91800000000001</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41.9</v>
      </c>
      <c r="E24" s="251"/>
      <c r="F24" s="252">
        <v>10</v>
      </c>
      <c r="G24" s="252"/>
      <c r="H24" s="251">
        <f t="shared" si="0"/>
        <v>0.83799999999999997</v>
      </c>
      <c r="I24" s="251"/>
      <c r="J24" s="323">
        <f t="shared" si="1"/>
        <v>419.83800000000002</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53.05</v>
      </c>
      <c r="E25" s="238"/>
      <c r="F25" s="239">
        <v>15</v>
      </c>
      <c r="G25" s="239"/>
      <c r="H25" s="307">
        <f t="shared" si="0"/>
        <v>1.5915000000000001</v>
      </c>
      <c r="I25" s="308"/>
      <c r="J25" s="309">
        <f t="shared" si="1"/>
        <v>797.3415</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60.5</v>
      </c>
      <c r="E26" s="251"/>
      <c r="F26" s="252">
        <v>10</v>
      </c>
      <c r="G26" s="252"/>
      <c r="H26" s="251">
        <f t="shared" si="0"/>
        <v>1.21</v>
      </c>
      <c r="I26" s="251"/>
      <c r="J26" s="323">
        <f t="shared" si="1"/>
        <v>606.21</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104</v>
      </c>
      <c r="E27" s="238"/>
      <c r="F27" s="239">
        <v>9</v>
      </c>
      <c r="G27" s="239"/>
      <c r="H27" s="307">
        <f t="shared" si="0"/>
        <v>1.8720000000000001</v>
      </c>
      <c r="I27" s="308"/>
      <c r="J27" s="309">
        <f t="shared" si="1"/>
        <v>937.87199999999996</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127</v>
      </c>
      <c r="E28" s="251"/>
      <c r="F28" s="252">
        <v>8</v>
      </c>
      <c r="G28" s="252"/>
      <c r="H28" s="251">
        <f t="shared" si="0"/>
        <v>2.032</v>
      </c>
      <c r="I28" s="251"/>
      <c r="J28" s="323">
        <f t="shared" si="1"/>
        <v>1018.032</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117</v>
      </c>
      <c r="E29" s="238"/>
      <c r="F29" s="239">
        <v>4</v>
      </c>
      <c r="G29" s="239"/>
      <c r="H29" s="307">
        <f t="shared" si="0"/>
        <v>0.93600000000000005</v>
      </c>
      <c r="I29" s="308"/>
      <c r="J29" s="309">
        <f t="shared" si="1"/>
        <v>468.93599999999998</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98.13</v>
      </c>
      <c r="E30" s="251"/>
      <c r="F30" s="252">
        <v>15</v>
      </c>
      <c r="G30" s="252"/>
      <c r="H30" s="251">
        <f t="shared" si="0"/>
        <v>2.9438999999999997</v>
      </c>
      <c r="I30" s="251"/>
      <c r="J30" s="323">
        <f t="shared" si="1"/>
        <v>1474.8938999999998</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108.9</v>
      </c>
      <c r="E31" s="238"/>
      <c r="F31" s="239">
        <v>10</v>
      </c>
      <c r="G31" s="239"/>
      <c r="H31" s="238">
        <f t="shared" ref="H31" si="3">(D31*F31)*(2/1000)</f>
        <v>2.1779999999999999</v>
      </c>
      <c r="I31" s="238"/>
      <c r="J31" s="309">
        <f t="shared" si="1"/>
        <v>1091.1780000000001</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2"/>
      <c r="C32" s="252"/>
      <c r="D32" s="251"/>
      <c r="E32" s="251"/>
      <c r="F32" s="252"/>
      <c r="G32" s="252"/>
      <c r="H32" s="251"/>
      <c r="I32" s="251"/>
      <c r="J32" s="323">
        <f t="shared" si="1"/>
        <v>0</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4">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38"/>
      <c r="I87" s="238"/>
      <c r="J87" s="309">
        <f t="shared" si="4"/>
        <v>0</v>
      </c>
      <c r="K87" s="309"/>
      <c r="L87" s="343"/>
      <c r="M87" s="22">
        <v>67</v>
      </c>
      <c r="N87" s="239"/>
      <c r="O87" s="239"/>
      <c r="P87" s="238"/>
      <c r="Q87" s="238"/>
      <c r="R87" s="239"/>
      <c r="S87" s="239"/>
      <c r="T87" s="23"/>
      <c r="U87" s="256">
        <f t="shared" ref="U87:U150" si="5">P87+R87</f>
        <v>0</v>
      </c>
      <c r="V87" s="257"/>
      <c r="W87"/>
      <c r="X87"/>
    </row>
    <row r="88" spans="1:24" ht="22.5" customHeight="1" x14ac:dyDescent="0.25">
      <c r="A88" s="14">
        <v>68</v>
      </c>
      <c r="B88" s="252"/>
      <c r="C88" s="252"/>
      <c r="D88" s="251"/>
      <c r="E88" s="251"/>
      <c r="F88" s="252"/>
      <c r="G88" s="252"/>
      <c r="H88" s="251"/>
      <c r="I88" s="251"/>
      <c r="J88" s="323">
        <f t="shared" si="4"/>
        <v>0</v>
      </c>
      <c r="K88" s="324"/>
      <c r="L88" s="343"/>
      <c r="M88" s="15">
        <v>68</v>
      </c>
      <c r="N88" s="260"/>
      <c r="O88" s="260"/>
      <c r="P88" s="259"/>
      <c r="Q88" s="259"/>
      <c r="R88" s="260"/>
      <c r="S88" s="260"/>
      <c r="T88" s="24"/>
      <c r="U88" s="340">
        <f t="shared" si="5"/>
        <v>0</v>
      </c>
      <c r="V88" s="341"/>
      <c r="W88"/>
      <c r="X88"/>
    </row>
    <row r="89" spans="1:24" ht="22.5" customHeight="1" x14ac:dyDescent="0.25">
      <c r="A89" s="22">
        <v>69</v>
      </c>
      <c r="B89" s="239"/>
      <c r="C89" s="239"/>
      <c r="D89" s="238"/>
      <c r="E89" s="238"/>
      <c r="F89" s="239"/>
      <c r="G89" s="239"/>
      <c r="H89" s="238"/>
      <c r="I89" s="238"/>
      <c r="J89" s="309">
        <f t="shared" si="4"/>
        <v>0</v>
      </c>
      <c r="K89" s="309"/>
      <c r="L89" s="343"/>
      <c r="M89" s="22">
        <v>69</v>
      </c>
      <c r="N89" s="239"/>
      <c r="O89" s="239"/>
      <c r="P89" s="238"/>
      <c r="Q89" s="238"/>
      <c r="R89" s="239"/>
      <c r="S89" s="239"/>
      <c r="T89" s="23"/>
      <c r="U89" s="256">
        <f t="shared" si="5"/>
        <v>0</v>
      </c>
      <c r="V89" s="257"/>
      <c r="W89"/>
      <c r="X89"/>
    </row>
    <row r="90" spans="1:24" ht="22.5" customHeight="1" x14ac:dyDescent="0.25">
      <c r="A90" s="14">
        <v>70</v>
      </c>
      <c r="B90" s="252"/>
      <c r="C90" s="252"/>
      <c r="D90" s="251"/>
      <c r="E90" s="251"/>
      <c r="F90" s="252"/>
      <c r="G90" s="252"/>
      <c r="H90" s="251"/>
      <c r="I90" s="251"/>
      <c r="J90" s="323">
        <f t="shared" si="4"/>
        <v>0</v>
      </c>
      <c r="K90" s="324"/>
      <c r="L90" s="343"/>
      <c r="M90" s="15">
        <v>70</v>
      </c>
      <c r="N90" s="260"/>
      <c r="O90" s="260"/>
      <c r="P90" s="259"/>
      <c r="Q90" s="259"/>
      <c r="R90" s="260"/>
      <c r="S90" s="260"/>
      <c r="T90" s="24"/>
      <c r="U90" s="340">
        <f t="shared" si="5"/>
        <v>0</v>
      </c>
      <c r="V90" s="341"/>
      <c r="W90"/>
      <c r="X90"/>
    </row>
    <row r="91" spans="1:24" ht="22.5" customHeight="1" x14ac:dyDescent="0.25">
      <c r="A91" s="22">
        <v>71</v>
      </c>
      <c r="B91" s="239"/>
      <c r="C91" s="239"/>
      <c r="D91" s="238"/>
      <c r="E91" s="238"/>
      <c r="F91" s="239"/>
      <c r="G91" s="239"/>
      <c r="H91" s="238"/>
      <c r="I91" s="238"/>
      <c r="J91" s="309">
        <f t="shared" si="4"/>
        <v>0</v>
      </c>
      <c r="K91" s="309"/>
      <c r="L91" s="343"/>
      <c r="M91" s="22">
        <v>71</v>
      </c>
      <c r="N91" s="239"/>
      <c r="O91" s="239"/>
      <c r="P91" s="238"/>
      <c r="Q91" s="238"/>
      <c r="R91" s="239"/>
      <c r="S91" s="239"/>
      <c r="T91" s="23"/>
      <c r="U91" s="256">
        <f t="shared" si="5"/>
        <v>0</v>
      </c>
      <c r="V91" s="257"/>
      <c r="W91"/>
      <c r="X91"/>
    </row>
    <row r="92" spans="1:24" ht="22.5" customHeight="1" x14ac:dyDescent="0.25">
      <c r="A92" s="14">
        <v>72</v>
      </c>
      <c r="B92" s="252"/>
      <c r="C92" s="252"/>
      <c r="D92" s="251"/>
      <c r="E92" s="251"/>
      <c r="F92" s="252"/>
      <c r="G92" s="252"/>
      <c r="H92" s="251"/>
      <c r="I92" s="251"/>
      <c r="J92" s="323">
        <f t="shared" si="4"/>
        <v>0</v>
      </c>
      <c r="K92" s="324"/>
      <c r="L92" s="343"/>
      <c r="M92" s="15">
        <v>72</v>
      </c>
      <c r="N92" s="260"/>
      <c r="O92" s="260"/>
      <c r="P92" s="259"/>
      <c r="Q92" s="259"/>
      <c r="R92" s="260"/>
      <c r="S92" s="260"/>
      <c r="T92" s="24"/>
      <c r="U92" s="340">
        <f t="shared" si="5"/>
        <v>0</v>
      </c>
      <c r="V92" s="341"/>
      <c r="W92"/>
      <c r="X92"/>
    </row>
    <row r="93" spans="1:24" ht="22.5" customHeight="1" x14ac:dyDescent="0.25">
      <c r="A93" s="22">
        <v>73</v>
      </c>
      <c r="B93" s="239"/>
      <c r="C93" s="239"/>
      <c r="D93" s="238"/>
      <c r="E93" s="238"/>
      <c r="F93" s="239"/>
      <c r="G93" s="239"/>
      <c r="H93" s="238"/>
      <c r="I93" s="238"/>
      <c r="J93" s="309">
        <f t="shared" si="4"/>
        <v>0</v>
      </c>
      <c r="K93" s="309"/>
      <c r="L93" s="343"/>
      <c r="M93" s="22">
        <v>73</v>
      </c>
      <c r="N93" s="239"/>
      <c r="O93" s="239"/>
      <c r="P93" s="238"/>
      <c r="Q93" s="238"/>
      <c r="R93" s="239"/>
      <c r="S93" s="239"/>
      <c r="T93" s="23"/>
      <c r="U93" s="256">
        <f t="shared" si="5"/>
        <v>0</v>
      </c>
      <c r="V93" s="257"/>
      <c r="W93"/>
      <c r="X93"/>
    </row>
    <row r="94" spans="1:24" ht="22.5" customHeight="1" x14ac:dyDescent="0.25">
      <c r="A94" s="14">
        <v>74</v>
      </c>
      <c r="B94" s="252"/>
      <c r="C94" s="252"/>
      <c r="D94" s="251"/>
      <c r="E94" s="251"/>
      <c r="F94" s="252"/>
      <c r="G94" s="252"/>
      <c r="H94" s="251"/>
      <c r="I94" s="251"/>
      <c r="J94" s="323">
        <f t="shared" si="4"/>
        <v>0</v>
      </c>
      <c r="K94" s="324"/>
      <c r="L94" s="343"/>
      <c r="M94" s="15">
        <v>74</v>
      </c>
      <c r="N94" s="260"/>
      <c r="O94" s="260"/>
      <c r="P94" s="259"/>
      <c r="Q94" s="259"/>
      <c r="R94" s="260"/>
      <c r="S94" s="260"/>
      <c r="T94" s="24"/>
      <c r="U94" s="340">
        <f t="shared" si="5"/>
        <v>0</v>
      </c>
      <c r="V94" s="341"/>
      <c r="W94"/>
      <c r="X94"/>
    </row>
    <row r="95" spans="1:24" ht="22.5" customHeight="1" x14ac:dyDescent="0.25">
      <c r="A95" s="22">
        <v>75</v>
      </c>
      <c r="B95" s="239"/>
      <c r="C95" s="239"/>
      <c r="D95" s="238"/>
      <c r="E95" s="238"/>
      <c r="F95" s="239"/>
      <c r="G95" s="239"/>
      <c r="H95" s="238"/>
      <c r="I95" s="238"/>
      <c r="J95" s="309">
        <f t="shared" si="4"/>
        <v>0</v>
      </c>
      <c r="K95" s="309"/>
      <c r="L95" s="343"/>
      <c r="M95" s="22">
        <v>75</v>
      </c>
      <c r="N95" s="239"/>
      <c r="O95" s="239"/>
      <c r="P95" s="238"/>
      <c r="Q95" s="238"/>
      <c r="R95" s="239"/>
      <c r="S95" s="239"/>
      <c r="T95" s="23"/>
      <c r="U95" s="256">
        <f t="shared" si="5"/>
        <v>0</v>
      </c>
      <c r="V95" s="257"/>
      <c r="W95"/>
      <c r="X95"/>
    </row>
    <row r="96" spans="1:24" ht="22.5" customHeight="1" x14ac:dyDescent="0.25">
      <c r="A96" s="14">
        <v>76</v>
      </c>
      <c r="B96" s="252"/>
      <c r="C96" s="252"/>
      <c r="D96" s="251"/>
      <c r="E96" s="251"/>
      <c r="F96" s="252"/>
      <c r="G96" s="252"/>
      <c r="H96" s="251"/>
      <c r="I96" s="251"/>
      <c r="J96" s="323">
        <f t="shared" si="4"/>
        <v>0</v>
      </c>
      <c r="K96" s="324"/>
      <c r="L96" s="343"/>
      <c r="M96" s="15">
        <v>76</v>
      </c>
      <c r="N96" s="260"/>
      <c r="O96" s="260"/>
      <c r="P96" s="259"/>
      <c r="Q96" s="259"/>
      <c r="R96" s="260"/>
      <c r="S96" s="260"/>
      <c r="T96" s="24"/>
      <c r="U96" s="340">
        <f t="shared" si="5"/>
        <v>0</v>
      </c>
      <c r="V96" s="341"/>
      <c r="W96"/>
      <c r="X96"/>
    </row>
    <row r="97" spans="1:24" ht="22.5" customHeight="1" x14ac:dyDescent="0.25">
      <c r="A97" s="22">
        <v>77</v>
      </c>
      <c r="B97" s="239"/>
      <c r="C97" s="239"/>
      <c r="D97" s="238"/>
      <c r="E97" s="238"/>
      <c r="F97" s="239"/>
      <c r="G97" s="239"/>
      <c r="H97" s="238"/>
      <c r="I97" s="238"/>
      <c r="J97" s="309">
        <f t="shared" si="4"/>
        <v>0</v>
      </c>
      <c r="K97" s="309"/>
      <c r="L97" s="343"/>
      <c r="M97" s="22">
        <v>77</v>
      </c>
      <c r="N97" s="239"/>
      <c r="O97" s="239"/>
      <c r="P97" s="238"/>
      <c r="Q97" s="238"/>
      <c r="R97" s="239"/>
      <c r="S97" s="239"/>
      <c r="T97" s="23"/>
      <c r="U97" s="256">
        <f t="shared" si="5"/>
        <v>0</v>
      </c>
      <c r="V97" s="257"/>
      <c r="W97"/>
      <c r="X97"/>
    </row>
    <row r="98" spans="1:24" ht="22.5" customHeight="1" x14ac:dyDescent="0.25">
      <c r="A98" s="14">
        <v>78</v>
      </c>
      <c r="B98" s="252"/>
      <c r="C98" s="252"/>
      <c r="D98" s="251"/>
      <c r="E98" s="251"/>
      <c r="F98" s="252"/>
      <c r="G98" s="252"/>
      <c r="H98" s="251"/>
      <c r="I98" s="251"/>
      <c r="J98" s="323">
        <f t="shared" si="4"/>
        <v>0</v>
      </c>
      <c r="K98" s="324"/>
      <c r="L98" s="343"/>
      <c r="M98" s="15">
        <v>78</v>
      </c>
      <c r="N98" s="260"/>
      <c r="O98" s="260"/>
      <c r="P98" s="259"/>
      <c r="Q98" s="259"/>
      <c r="R98" s="260"/>
      <c r="S98" s="260"/>
      <c r="T98" s="24"/>
      <c r="U98" s="340">
        <f t="shared" si="5"/>
        <v>0</v>
      </c>
      <c r="V98" s="341"/>
      <c r="W98"/>
      <c r="X98"/>
    </row>
    <row r="99" spans="1:24" ht="22.5" customHeight="1" x14ac:dyDescent="0.25">
      <c r="A99" s="22">
        <v>79</v>
      </c>
      <c r="B99" s="239"/>
      <c r="C99" s="239"/>
      <c r="D99" s="238"/>
      <c r="E99" s="238"/>
      <c r="F99" s="239"/>
      <c r="G99" s="239"/>
      <c r="H99" s="238"/>
      <c r="I99" s="238"/>
      <c r="J99" s="309">
        <f t="shared" si="4"/>
        <v>0</v>
      </c>
      <c r="K99" s="309"/>
      <c r="L99" s="343"/>
      <c r="M99" s="22">
        <v>79</v>
      </c>
      <c r="N99" s="239"/>
      <c r="O99" s="239"/>
      <c r="P99" s="238"/>
      <c r="Q99" s="238"/>
      <c r="R99" s="239"/>
      <c r="S99" s="239"/>
      <c r="T99" s="23"/>
      <c r="U99" s="256">
        <f t="shared" si="5"/>
        <v>0</v>
      </c>
      <c r="V99" s="257"/>
      <c r="W99"/>
      <c r="X99"/>
    </row>
    <row r="100" spans="1:24" ht="22.5" customHeight="1" x14ac:dyDescent="0.25">
      <c r="A100" s="14">
        <v>80</v>
      </c>
      <c r="B100" s="252"/>
      <c r="C100" s="252"/>
      <c r="D100" s="251"/>
      <c r="E100" s="251"/>
      <c r="F100" s="252"/>
      <c r="G100" s="252"/>
      <c r="H100" s="251"/>
      <c r="I100" s="251"/>
      <c r="J100" s="323">
        <f t="shared" si="4"/>
        <v>0</v>
      </c>
      <c r="K100" s="324"/>
      <c r="L100" s="343"/>
      <c r="M100" s="15">
        <v>80</v>
      </c>
      <c r="N100" s="260"/>
      <c r="O100" s="260"/>
      <c r="P100" s="259"/>
      <c r="Q100" s="259"/>
      <c r="R100" s="260"/>
      <c r="S100" s="260"/>
      <c r="T100" s="24"/>
      <c r="U100" s="340">
        <f t="shared" si="5"/>
        <v>0</v>
      </c>
      <c r="V100" s="341"/>
      <c r="W100"/>
      <c r="X100"/>
    </row>
    <row r="101" spans="1:24" ht="22.5" customHeight="1" x14ac:dyDescent="0.25">
      <c r="A101" s="22">
        <v>81</v>
      </c>
      <c r="B101" s="239"/>
      <c r="C101" s="239"/>
      <c r="D101" s="238"/>
      <c r="E101" s="238"/>
      <c r="F101" s="239"/>
      <c r="G101" s="239"/>
      <c r="H101" s="238"/>
      <c r="I101" s="238"/>
      <c r="J101" s="309">
        <f t="shared" si="4"/>
        <v>0</v>
      </c>
      <c r="K101" s="309"/>
      <c r="L101" s="343"/>
      <c r="M101" s="22">
        <v>81</v>
      </c>
      <c r="N101" s="239"/>
      <c r="O101" s="239"/>
      <c r="P101" s="238"/>
      <c r="Q101" s="238"/>
      <c r="R101" s="239"/>
      <c r="S101" s="239"/>
      <c r="T101" s="23"/>
      <c r="U101" s="256">
        <f t="shared" si="5"/>
        <v>0</v>
      </c>
      <c r="V101" s="257"/>
      <c r="W101"/>
      <c r="X101"/>
    </row>
    <row r="102" spans="1:24" ht="22.5" customHeight="1" x14ac:dyDescent="0.25">
      <c r="A102" s="14">
        <v>82</v>
      </c>
      <c r="B102" s="252"/>
      <c r="C102" s="252"/>
      <c r="D102" s="251"/>
      <c r="E102" s="251"/>
      <c r="F102" s="252"/>
      <c r="G102" s="252"/>
      <c r="H102" s="251"/>
      <c r="I102" s="251"/>
      <c r="J102" s="323">
        <f t="shared" si="4"/>
        <v>0</v>
      </c>
      <c r="K102" s="324"/>
      <c r="L102" s="343"/>
      <c r="M102" s="15">
        <v>82</v>
      </c>
      <c r="N102" s="260"/>
      <c r="O102" s="260"/>
      <c r="P102" s="259"/>
      <c r="Q102" s="259"/>
      <c r="R102" s="260"/>
      <c r="S102" s="260"/>
      <c r="T102" s="24"/>
      <c r="U102" s="340">
        <f t="shared" si="5"/>
        <v>0</v>
      </c>
      <c r="V102" s="341"/>
      <c r="W102"/>
      <c r="X102"/>
    </row>
    <row r="103" spans="1:24" ht="22.5" customHeight="1" x14ac:dyDescent="0.25">
      <c r="A103" s="22">
        <v>83</v>
      </c>
      <c r="B103" s="239"/>
      <c r="C103" s="239"/>
      <c r="D103" s="238"/>
      <c r="E103" s="238"/>
      <c r="F103" s="239"/>
      <c r="G103" s="239"/>
      <c r="H103" s="238"/>
      <c r="I103" s="238"/>
      <c r="J103" s="309">
        <f t="shared" si="4"/>
        <v>0</v>
      </c>
      <c r="K103" s="309"/>
      <c r="L103" s="343"/>
      <c r="M103" s="22">
        <v>83</v>
      </c>
      <c r="N103" s="239"/>
      <c r="O103" s="239"/>
      <c r="P103" s="238"/>
      <c r="Q103" s="238"/>
      <c r="R103" s="239"/>
      <c r="S103" s="239"/>
      <c r="T103" s="23"/>
      <c r="U103" s="256">
        <f t="shared" si="5"/>
        <v>0</v>
      </c>
      <c r="V103" s="257"/>
      <c r="W103"/>
      <c r="X103"/>
    </row>
    <row r="104" spans="1:24" ht="22.5" customHeight="1" x14ac:dyDescent="0.25">
      <c r="A104" s="14">
        <v>84</v>
      </c>
      <c r="B104" s="252"/>
      <c r="C104" s="252"/>
      <c r="D104" s="251"/>
      <c r="E104" s="251"/>
      <c r="F104" s="252"/>
      <c r="G104" s="252"/>
      <c r="H104" s="251"/>
      <c r="I104" s="251"/>
      <c r="J104" s="323">
        <f t="shared" si="4"/>
        <v>0</v>
      </c>
      <c r="K104" s="324"/>
      <c r="L104" s="343"/>
      <c r="M104" s="15">
        <v>84</v>
      </c>
      <c r="N104" s="260"/>
      <c r="O104" s="260"/>
      <c r="P104" s="259"/>
      <c r="Q104" s="259"/>
      <c r="R104" s="260"/>
      <c r="S104" s="260"/>
      <c r="T104" s="24"/>
      <c r="U104" s="340">
        <f t="shared" si="5"/>
        <v>0</v>
      </c>
      <c r="V104" s="341"/>
      <c r="W104"/>
      <c r="X104"/>
    </row>
    <row r="105" spans="1:24" ht="22.5" customHeight="1" x14ac:dyDescent="0.25">
      <c r="A105" s="22">
        <v>85</v>
      </c>
      <c r="B105" s="239"/>
      <c r="C105" s="239"/>
      <c r="D105" s="238"/>
      <c r="E105" s="238"/>
      <c r="F105" s="239"/>
      <c r="G105" s="239"/>
      <c r="H105" s="238"/>
      <c r="I105" s="238"/>
      <c r="J105" s="309">
        <f t="shared" si="4"/>
        <v>0</v>
      </c>
      <c r="K105" s="309"/>
      <c r="L105" s="343"/>
      <c r="M105" s="22">
        <v>85</v>
      </c>
      <c r="N105" s="239"/>
      <c r="O105" s="239"/>
      <c r="P105" s="238"/>
      <c r="Q105" s="238"/>
      <c r="R105" s="239"/>
      <c r="S105" s="239"/>
      <c r="T105" s="23"/>
      <c r="U105" s="256">
        <f t="shared" si="5"/>
        <v>0</v>
      </c>
      <c r="V105" s="257"/>
      <c r="W105"/>
      <c r="X105"/>
    </row>
    <row r="106" spans="1:24" ht="22.5" customHeight="1" x14ac:dyDescent="0.25">
      <c r="A106" s="14">
        <v>86</v>
      </c>
      <c r="B106" s="252"/>
      <c r="C106" s="252"/>
      <c r="D106" s="251"/>
      <c r="E106" s="251"/>
      <c r="F106" s="252"/>
      <c r="G106" s="252"/>
      <c r="H106" s="251"/>
      <c r="I106" s="251"/>
      <c r="J106" s="323">
        <f t="shared" si="4"/>
        <v>0</v>
      </c>
      <c r="K106" s="324"/>
      <c r="L106" s="343"/>
      <c r="M106" s="15">
        <v>86</v>
      </c>
      <c r="N106" s="260"/>
      <c r="O106" s="260"/>
      <c r="P106" s="259"/>
      <c r="Q106" s="259"/>
      <c r="R106" s="260"/>
      <c r="S106" s="260"/>
      <c r="T106" s="24"/>
      <c r="U106" s="340">
        <f t="shared" si="5"/>
        <v>0</v>
      </c>
      <c r="V106" s="341"/>
      <c r="W106"/>
      <c r="X106"/>
    </row>
    <row r="107" spans="1:24" ht="22.5" customHeight="1" x14ac:dyDescent="0.25">
      <c r="A107" s="22">
        <v>87</v>
      </c>
      <c r="B107" s="239"/>
      <c r="C107" s="239"/>
      <c r="D107" s="238"/>
      <c r="E107" s="238"/>
      <c r="F107" s="239"/>
      <c r="G107" s="239"/>
      <c r="H107" s="238"/>
      <c r="I107" s="238"/>
      <c r="J107" s="309">
        <f t="shared" si="4"/>
        <v>0</v>
      </c>
      <c r="K107" s="309"/>
      <c r="L107" s="343"/>
      <c r="M107" s="22">
        <v>87</v>
      </c>
      <c r="N107" s="239"/>
      <c r="O107" s="239"/>
      <c r="P107" s="238"/>
      <c r="Q107" s="238"/>
      <c r="R107" s="239"/>
      <c r="S107" s="239"/>
      <c r="T107" s="23"/>
      <c r="U107" s="256">
        <f t="shared" si="5"/>
        <v>0</v>
      </c>
      <c r="V107" s="257"/>
      <c r="W107"/>
      <c r="X107"/>
    </row>
    <row r="108" spans="1:24" ht="22.5" customHeight="1" x14ac:dyDescent="0.25">
      <c r="A108" s="14">
        <v>88</v>
      </c>
      <c r="B108" s="252"/>
      <c r="C108" s="252"/>
      <c r="D108" s="251"/>
      <c r="E108" s="251"/>
      <c r="F108" s="252"/>
      <c r="G108" s="252"/>
      <c r="H108" s="251"/>
      <c r="I108" s="251"/>
      <c r="J108" s="323">
        <f t="shared" si="4"/>
        <v>0</v>
      </c>
      <c r="K108" s="324"/>
      <c r="L108" s="343"/>
      <c r="M108" s="15">
        <v>88</v>
      </c>
      <c r="N108" s="260"/>
      <c r="O108" s="260"/>
      <c r="P108" s="259"/>
      <c r="Q108" s="259"/>
      <c r="R108" s="260"/>
      <c r="S108" s="260"/>
      <c r="T108" s="24"/>
      <c r="U108" s="340">
        <f t="shared" si="5"/>
        <v>0</v>
      </c>
      <c r="V108" s="341"/>
      <c r="W108"/>
      <c r="X108"/>
    </row>
    <row r="109" spans="1:24" ht="22.5" customHeight="1" x14ac:dyDescent="0.25">
      <c r="A109" s="22">
        <v>89</v>
      </c>
      <c r="B109" s="239"/>
      <c r="C109" s="239"/>
      <c r="D109" s="238"/>
      <c r="E109" s="238"/>
      <c r="F109" s="239"/>
      <c r="G109" s="239"/>
      <c r="H109" s="238"/>
      <c r="I109" s="238"/>
      <c r="J109" s="309">
        <f t="shared" si="4"/>
        <v>0</v>
      </c>
      <c r="K109" s="309"/>
      <c r="L109" s="343"/>
      <c r="M109" s="22">
        <v>89</v>
      </c>
      <c r="N109" s="239"/>
      <c r="O109" s="239"/>
      <c r="P109" s="238"/>
      <c r="Q109" s="238"/>
      <c r="R109" s="239"/>
      <c r="S109" s="239"/>
      <c r="T109" s="23"/>
      <c r="U109" s="256">
        <f t="shared" si="5"/>
        <v>0</v>
      </c>
      <c r="V109" s="257"/>
      <c r="W109"/>
      <c r="X109"/>
    </row>
    <row r="110" spans="1:24" ht="22.5" customHeight="1" x14ac:dyDescent="0.25">
      <c r="A110" s="14">
        <v>90</v>
      </c>
      <c r="B110" s="252"/>
      <c r="C110" s="252"/>
      <c r="D110" s="251"/>
      <c r="E110" s="251"/>
      <c r="F110" s="252"/>
      <c r="G110" s="252"/>
      <c r="H110" s="251"/>
      <c r="I110" s="251"/>
      <c r="J110" s="323">
        <f t="shared" si="4"/>
        <v>0</v>
      </c>
      <c r="K110" s="324"/>
      <c r="L110" s="343"/>
      <c r="M110" s="15">
        <v>90</v>
      </c>
      <c r="N110" s="260"/>
      <c r="O110" s="260"/>
      <c r="P110" s="259"/>
      <c r="Q110" s="259"/>
      <c r="R110" s="260"/>
      <c r="S110" s="260"/>
      <c r="T110" s="24"/>
      <c r="U110" s="340">
        <f t="shared" si="5"/>
        <v>0</v>
      </c>
      <c r="V110" s="341"/>
      <c r="W110"/>
      <c r="X110"/>
    </row>
    <row r="111" spans="1:24" ht="22.5" customHeight="1" x14ac:dyDescent="0.25">
      <c r="A111" s="22">
        <v>91</v>
      </c>
      <c r="B111" s="239"/>
      <c r="C111" s="239"/>
      <c r="D111" s="238"/>
      <c r="E111" s="238"/>
      <c r="F111" s="239"/>
      <c r="G111" s="239"/>
      <c r="H111" s="238"/>
      <c r="I111" s="238"/>
      <c r="J111" s="309">
        <f t="shared" si="4"/>
        <v>0</v>
      </c>
      <c r="K111" s="309"/>
      <c r="L111" s="343"/>
      <c r="M111" s="22">
        <v>91</v>
      </c>
      <c r="N111" s="239"/>
      <c r="O111" s="239"/>
      <c r="P111" s="238"/>
      <c r="Q111" s="238"/>
      <c r="R111" s="239"/>
      <c r="S111" s="239"/>
      <c r="T111" s="23"/>
      <c r="U111" s="256">
        <f t="shared" si="5"/>
        <v>0</v>
      </c>
      <c r="V111" s="257"/>
      <c r="W111"/>
      <c r="X111"/>
    </row>
    <row r="112" spans="1:24" ht="22.5" customHeight="1" x14ac:dyDescent="0.25">
      <c r="A112" s="14">
        <v>92</v>
      </c>
      <c r="B112" s="252"/>
      <c r="C112" s="252"/>
      <c r="D112" s="251"/>
      <c r="E112" s="251"/>
      <c r="F112" s="252"/>
      <c r="G112" s="252"/>
      <c r="H112" s="251"/>
      <c r="I112" s="251"/>
      <c r="J112" s="323">
        <f t="shared" si="4"/>
        <v>0</v>
      </c>
      <c r="K112" s="324"/>
      <c r="L112" s="343"/>
      <c r="M112" s="15">
        <v>92</v>
      </c>
      <c r="N112" s="260"/>
      <c r="O112" s="260"/>
      <c r="P112" s="259"/>
      <c r="Q112" s="259"/>
      <c r="R112" s="260"/>
      <c r="S112" s="260"/>
      <c r="T112" s="24"/>
      <c r="U112" s="340">
        <f t="shared" si="5"/>
        <v>0</v>
      </c>
      <c r="V112" s="341"/>
      <c r="W112"/>
      <c r="X112"/>
    </row>
    <row r="113" spans="1:24" ht="22.5" customHeight="1" x14ac:dyDescent="0.25">
      <c r="A113" s="22">
        <v>93</v>
      </c>
      <c r="B113" s="239"/>
      <c r="C113" s="239"/>
      <c r="D113" s="238"/>
      <c r="E113" s="238"/>
      <c r="F113" s="239"/>
      <c r="G113" s="239"/>
      <c r="H113" s="238"/>
      <c r="I113" s="238"/>
      <c r="J113" s="309">
        <f t="shared" si="4"/>
        <v>0</v>
      </c>
      <c r="K113" s="309"/>
      <c r="L113" s="343"/>
      <c r="M113" s="22">
        <v>93</v>
      </c>
      <c r="N113" s="239"/>
      <c r="O113" s="239"/>
      <c r="P113" s="238"/>
      <c r="Q113" s="238"/>
      <c r="R113" s="239"/>
      <c r="S113" s="239"/>
      <c r="T113" s="23"/>
      <c r="U113" s="256">
        <f t="shared" si="5"/>
        <v>0</v>
      </c>
      <c r="V113" s="257"/>
      <c r="W113"/>
      <c r="X113"/>
    </row>
    <row r="114" spans="1:24" ht="22.5" customHeight="1" x14ac:dyDescent="0.25">
      <c r="A114" s="14">
        <v>94</v>
      </c>
      <c r="B114" s="252"/>
      <c r="C114" s="252"/>
      <c r="D114" s="251"/>
      <c r="E114" s="251"/>
      <c r="F114" s="252"/>
      <c r="G114" s="252"/>
      <c r="H114" s="251"/>
      <c r="I114" s="251"/>
      <c r="J114" s="323">
        <f t="shared" si="4"/>
        <v>0</v>
      </c>
      <c r="K114" s="324"/>
      <c r="L114" s="343"/>
      <c r="M114" s="15">
        <v>94</v>
      </c>
      <c r="N114" s="260"/>
      <c r="O114" s="260"/>
      <c r="P114" s="259"/>
      <c r="Q114" s="259"/>
      <c r="R114" s="260"/>
      <c r="S114" s="260"/>
      <c r="T114" s="24"/>
      <c r="U114" s="340">
        <f t="shared" si="5"/>
        <v>0</v>
      </c>
      <c r="V114" s="341"/>
      <c r="W114"/>
      <c r="X114"/>
    </row>
    <row r="115" spans="1:24" ht="22.5" customHeight="1" x14ac:dyDescent="0.25">
      <c r="A115" s="22">
        <v>95</v>
      </c>
      <c r="B115" s="239"/>
      <c r="C115" s="239"/>
      <c r="D115" s="238"/>
      <c r="E115" s="238"/>
      <c r="F115" s="239"/>
      <c r="G115" s="239"/>
      <c r="H115" s="238"/>
      <c r="I115" s="238"/>
      <c r="J115" s="309">
        <f t="shared" si="4"/>
        <v>0</v>
      </c>
      <c r="K115" s="309"/>
      <c r="L115" s="343"/>
      <c r="M115" s="22">
        <v>95</v>
      </c>
      <c r="N115" s="239"/>
      <c r="O115" s="239"/>
      <c r="P115" s="238"/>
      <c r="Q115" s="238"/>
      <c r="R115" s="239"/>
      <c r="S115" s="239"/>
      <c r="T115" s="23"/>
      <c r="U115" s="256">
        <f t="shared" si="5"/>
        <v>0</v>
      </c>
      <c r="V115" s="257"/>
      <c r="W115"/>
      <c r="X115"/>
    </row>
    <row r="116" spans="1:24" ht="22.5" customHeight="1" x14ac:dyDescent="0.25">
      <c r="A116" s="14">
        <v>96</v>
      </c>
      <c r="B116" s="252"/>
      <c r="C116" s="252"/>
      <c r="D116" s="251"/>
      <c r="E116" s="251"/>
      <c r="F116" s="252"/>
      <c r="G116" s="252"/>
      <c r="H116" s="251"/>
      <c r="I116" s="251"/>
      <c r="J116" s="323">
        <f t="shared" si="4"/>
        <v>0</v>
      </c>
      <c r="K116" s="324"/>
      <c r="L116" s="343"/>
      <c r="M116" s="15">
        <v>96</v>
      </c>
      <c r="N116" s="260"/>
      <c r="O116" s="260"/>
      <c r="P116" s="259"/>
      <c r="Q116" s="259"/>
      <c r="R116" s="260"/>
      <c r="S116" s="260"/>
      <c r="T116" s="24"/>
      <c r="U116" s="340">
        <f t="shared" si="5"/>
        <v>0</v>
      </c>
      <c r="V116" s="341"/>
      <c r="W116"/>
      <c r="X116"/>
    </row>
    <row r="117" spans="1:24" ht="22.5" customHeight="1" x14ac:dyDescent="0.25">
      <c r="A117" s="22">
        <v>97</v>
      </c>
      <c r="B117" s="239"/>
      <c r="C117" s="239"/>
      <c r="D117" s="238"/>
      <c r="E117" s="238"/>
      <c r="F117" s="239"/>
      <c r="G117" s="239"/>
      <c r="H117" s="238"/>
      <c r="I117" s="238"/>
      <c r="J117" s="309">
        <f t="shared" si="4"/>
        <v>0</v>
      </c>
      <c r="K117" s="309"/>
      <c r="L117" s="343"/>
      <c r="M117" s="22">
        <v>97</v>
      </c>
      <c r="N117" s="239"/>
      <c r="O117" s="239"/>
      <c r="P117" s="238"/>
      <c r="Q117" s="238"/>
      <c r="R117" s="239"/>
      <c r="S117" s="239"/>
      <c r="T117" s="23"/>
      <c r="U117" s="256">
        <f t="shared" si="5"/>
        <v>0</v>
      </c>
      <c r="V117" s="257"/>
      <c r="W117"/>
      <c r="X117"/>
    </row>
    <row r="118" spans="1:24" ht="22.5" customHeight="1" x14ac:dyDescent="0.25">
      <c r="A118" s="14">
        <v>98</v>
      </c>
      <c r="B118" s="252"/>
      <c r="C118" s="252"/>
      <c r="D118" s="251"/>
      <c r="E118" s="251"/>
      <c r="F118" s="252"/>
      <c r="G118" s="252"/>
      <c r="H118" s="251"/>
      <c r="I118" s="251"/>
      <c r="J118" s="323">
        <f t="shared" si="4"/>
        <v>0</v>
      </c>
      <c r="K118" s="324"/>
      <c r="L118" s="343"/>
      <c r="M118" s="15">
        <v>98</v>
      </c>
      <c r="N118" s="260"/>
      <c r="O118" s="260"/>
      <c r="P118" s="259"/>
      <c r="Q118" s="259"/>
      <c r="R118" s="260"/>
      <c r="S118" s="260"/>
      <c r="T118" s="24"/>
      <c r="U118" s="340">
        <f t="shared" si="5"/>
        <v>0</v>
      </c>
      <c r="V118" s="341"/>
      <c r="W118"/>
      <c r="X118"/>
    </row>
    <row r="119" spans="1:24" ht="22.5" customHeight="1" x14ac:dyDescent="0.25">
      <c r="A119" s="22">
        <v>99</v>
      </c>
      <c r="B119" s="239"/>
      <c r="C119" s="239"/>
      <c r="D119" s="238"/>
      <c r="E119" s="238"/>
      <c r="F119" s="239"/>
      <c r="G119" s="239"/>
      <c r="H119" s="238"/>
      <c r="I119" s="238"/>
      <c r="J119" s="309">
        <f t="shared" si="4"/>
        <v>0</v>
      </c>
      <c r="K119" s="309"/>
      <c r="L119" s="343"/>
      <c r="M119" s="22">
        <v>99</v>
      </c>
      <c r="N119" s="239"/>
      <c r="O119" s="239"/>
      <c r="P119" s="238"/>
      <c r="Q119" s="238"/>
      <c r="R119" s="239"/>
      <c r="S119" s="239"/>
      <c r="T119" s="23"/>
      <c r="U119" s="256">
        <f t="shared" si="5"/>
        <v>0</v>
      </c>
      <c r="V119" s="257"/>
      <c r="W119"/>
      <c r="X119"/>
    </row>
    <row r="120" spans="1:24" ht="22.5" customHeight="1" x14ac:dyDescent="0.25">
      <c r="A120" s="14">
        <v>100</v>
      </c>
      <c r="B120" s="252"/>
      <c r="C120" s="252"/>
      <c r="D120" s="251"/>
      <c r="E120" s="251"/>
      <c r="F120" s="252"/>
      <c r="G120" s="252"/>
      <c r="H120" s="251"/>
      <c r="I120" s="251"/>
      <c r="J120" s="323">
        <f t="shared" si="4"/>
        <v>0</v>
      </c>
      <c r="K120" s="324"/>
      <c r="L120" s="343"/>
      <c r="M120" s="15">
        <v>100</v>
      </c>
      <c r="N120" s="260"/>
      <c r="O120" s="260"/>
      <c r="P120" s="259"/>
      <c r="Q120" s="259"/>
      <c r="R120" s="260"/>
      <c r="S120" s="260"/>
      <c r="T120" s="24"/>
      <c r="U120" s="340">
        <f t="shared" si="5"/>
        <v>0</v>
      </c>
      <c r="V120" s="341"/>
      <c r="W120"/>
      <c r="X120"/>
    </row>
    <row r="121" spans="1:24" ht="22.5" customHeight="1" x14ac:dyDescent="0.25">
      <c r="A121" s="22">
        <v>101</v>
      </c>
      <c r="B121" s="239"/>
      <c r="C121" s="239"/>
      <c r="D121" s="238"/>
      <c r="E121" s="238"/>
      <c r="F121" s="239"/>
      <c r="G121" s="239"/>
      <c r="H121" s="238"/>
      <c r="I121" s="238"/>
      <c r="J121" s="309">
        <f t="shared" si="4"/>
        <v>0</v>
      </c>
      <c r="K121" s="309"/>
      <c r="L121" s="343"/>
      <c r="M121" s="22">
        <v>101</v>
      </c>
      <c r="N121" s="239"/>
      <c r="O121" s="239"/>
      <c r="P121" s="238"/>
      <c r="Q121" s="238"/>
      <c r="R121" s="239"/>
      <c r="S121" s="239"/>
      <c r="T121" s="23"/>
      <c r="U121" s="256">
        <f t="shared" si="5"/>
        <v>0</v>
      </c>
      <c r="V121" s="257"/>
      <c r="W121"/>
      <c r="X121"/>
    </row>
    <row r="122" spans="1:24" ht="22.5" customHeight="1" x14ac:dyDescent="0.25">
      <c r="A122" s="14">
        <v>102</v>
      </c>
      <c r="B122" s="252"/>
      <c r="C122" s="252"/>
      <c r="D122" s="251"/>
      <c r="E122" s="251"/>
      <c r="F122" s="252"/>
      <c r="G122" s="252"/>
      <c r="H122" s="251"/>
      <c r="I122" s="251"/>
      <c r="J122" s="323">
        <f t="shared" si="4"/>
        <v>0</v>
      </c>
      <c r="K122" s="324"/>
      <c r="L122" s="343"/>
      <c r="M122" s="15">
        <v>102</v>
      </c>
      <c r="N122" s="260"/>
      <c r="O122" s="260"/>
      <c r="P122" s="259"/>
      <c r="Q122" s="259"/>
      <c r="R122" s="260"/>
      <c r="S122" s="260"/>
      <c r="T122" s="24"/>
      <c r="U122" s="340">
        <f t="shared" si="5"/>
        <v>0</v>
      </c>
      <c r="V122" s="341"/>
      <c r="W122"/>
      <c r="X122"/>
    </row>
    <row r="123" spans="1:24" ht="22.5" customHeight="1" x14ac:dyDescent="0.25">
      <c r="A123" s="22">
        <v>103</v>
      </c>
      <c r="B123" s="239"/>
      <c r="C123" s="239"/>
      <c r="D123" s="238"/>
      <c r="E123" s="238"/>
      <c r="F123" s="239"/>
      <c r="G123" s="239"/>
      <c r="H123" s="238"/>
      <c r="I123" s="238"/>
      <c r="J123" s="309">
        <f t="shared" si="4"/>
        <v>0</v>
      </c>
      <c r="K123" s="309"/>
      <c r="L123" s="343"/>
      <c r="M123" s="22">
        <v>103</v>
      </c>
      <c r="N123" s="239"/>
      <c r="O123" s="239"/>
      <c r="P123" s="238"/>
      <c r="Q123" s="238"/>
      <c r="R123" s="239"/>
      <c r="S123" s="239"/>
      <c r="T123" s="23"/>
      <c r="U123" s="256">
        <f t="shared" si="5"/>
        <v>0</v>
      </c>
      <c r="V123" s="257"/>
      <c r="W123"/>
      <c r="X123"/>
    </row>
    <row r="124" spans="1:24" ht="22.5" customHeight="1" x14ac:dyDescent="0.25">
      <c r="A124" s="14">
        <v>104</v>
      </c>
      <c r="B124" s="252"/>
      <c r="C124" s="252"/>
      <c r="D124" s="251"/>
      <c r="E124" s="251"/>
      <c r="F124" s="252"/>
      <c r="G124" s="252"/>
      <c r="H124" s="251"/>
      <c r="I124" s="251"/>
      <c r="J124" s="323">
        <f t="shared" si="4"/>
        <v>0</v>
      </c>
      <c r="K124" s="324"/>
      <c r="L124" s="343"/>
      <c r="M124" s="15">
        <v>104</v>
      </c>
      <c r="N124" s="260"/>
      <c r="O124" s="260"/>
      <c r="P124" s="259"/>
      <c r="Q124" s="259"/>
      <c r="R124" s="260"/>
      <c r="S124" s="260"/>
      <c r="T124" s="24"/>
      <c r="U124" s="340">
        <f t="shared" si="5"/>
        <v>0</v>
      </c>
      <c r="V124" s="341"/>
      <c r="W124"/>
      <c r="X124"/>
    </row>
    <row r="125" spans="1:24" ht="22.5" customHeight="1" x14ac:dyDescent="0.25">
      <c r="A125" s="22">
        <v>105</v>
      </c>
      <c r="B125" s="239"/>
      <c r="C125" s="239"/>
      <c r="D125" s="238"/>
      <c r="E125" s="238"/>
      <c r="F125" s="239"/>
      <c r="G125" s="239"/>
      <c r="H125" s="238"/>
      <c r="I125" s="238"/>
      <c r="J125" s="309">
        <f t="shared" si="4"/>
        <v>0</v>
      </c>
      <c r="K125" s="309"/>
      <c r="L125" s="343"/>
      <c r="M125" s="22">
        <v>105</v>
      </c>
      <c r="N125" s="239"/>
      <c r="O125" s="239"/>
      <c r="P125" s="238"/>
      <c r="Q125" s="238"/>
      <c r="R125" s="239"/>
      <c r="S125" s="239"/>
      <c r="T125" s="23"/>
      <c r="U125" s="256">
        <f t="shared" si="5"/>
        <v>0</v>
      </c>
      <c r="V125" s="257"/>
      <c r="W125"/>
      <c r="X125"/>
    </row>
    <row r="126" spans="1:24" ht="22.5" customHeight="1" x14ac:dyDescent="0.25">
      <c r="A126" s="14">
        <v>106</v>
      </c>
      <c r="B126" s="252"/>
      <c r="C126" s="252"/>
      <c r="D126" s="251"/>
      <c r="E126" s="251"/>
      <c r="F126" s="252"/>
      <c r="G126" s="252"/>
      <c r="H126" s="251"/>
      <c r="I126" s="251"/>
      <c r="J126" s="323">
        <f t="shared" si="4"/>
        <v>0</v>
      </c>
      <c r="K126" s="324"/>
      <c r="L126" s="343"/>
      <c r="M126" s="15">
        <v>106</v>
      </c>
      <c r="N126" s="260"/>
      <c r="O126" s="260"/>
      <c r="P126" s="259"/>
      <c r="Q126" s="259"/>
      <c r="R126" s="260"/>
      <c r="S126" s="260"/>
      <c r="T126" s="24"/>
      <c r="U126" s="340">
        <f t="shared" si="5"/>
        <v>0</v>
      </c>
      <c r="V126" s="341"/>
      <c r="W126"/>
      <c r="X126"/>
    </row>
    <row r="127" spans="1:24" ht="22.5" customHeight="1" x14ac:dyDescent="0.25">
      <c r="A127" s="22">
        <v>107</v>
      </c>
      <c r="B127" s="239"/>
      <c r="C127" s="239"/>
      <c r="D127" s="238"/>
      <c r="E127" s="238"/>
      <c r="F127" s="239"/>
      <c r="G127" s="239"/>
      <c r="H127" s="238"/>
      <c r="I127" s="238"/>
      <c r="J127" s="309">
        <f t="shared" si="4"/>
        <v>0</v>
      </c>
      <c r="K127" s="309"/>
      <c r="L127" s="343"/>
      <c r="M127" s="22">
        <v>107</v>
      </c>
      <c r="N127" s="239"/>
      <c r="O127" s="239"/>
      <c r="P127" s="238"/>
      <c r="Q127" s="238"/>
      <c r="R127" s="239"/>
      <c r="S127" s="239"/>
      <c r="T127" s="23"/>
      <c r="U127" s="256">
        <f t="shared" si="5"/>
        <v>0</v>
      </c>
      <c r="V127" s="257"/>
      <c r="W127"/>
      <c r="X127"/>
    </row>
    <row r="128" spans="1:24" ht="22.5" customHeight="1" x14ac:dyDescent="0.25">
      <c r="A128" s="14">
        <v>108</v>
      </c>
      <c r="B128" s="252"/>
      <c r="C128" s="252"/>
      <c r="D128" s="251"/>
      <c r="E128" s="251"/>
      <c r="F128" s="252"/>
      <c r="G128" s="252"/>
      <c r="H128" s="251"/>
      <c r="I128" s="251"/>
      <c r="J128" s="323">
        <f t="shared" si="4"/>
        <v>0</v>
      </c>
      <c r="K128" s="324"/>
      <c r="L128" s="343"/>
      <c r="M128" s="15">
        <v>108</v>
      </c>
      <c r="N128" s="260"/>
      <c r="O128" s="260"/>
      <c r="P128" s="259"/>
      <c r="Q128" s="259"/>
      <c r="R128" s="260"/>
      <c r="S128" s="260"/>
      <c r="T128" s="24"/>
      <c r="U128" s="340">
        <f t="shared" si="5"/>
        <v>0</v>
      </c>
      <c r="V128" s="341"/>
      <c r="W128"/>
      <c r="X128"/>
    </row>
    <row r="129" spans="1:24" ht="22.5" customHeight="1" x14ac:dyDescent="0.25">
      <c r="A129" s="22">
        <v>109</v>
      </c>
      <c r="B129" s="239"/>
      <c r="C129" s="239"/>
      <c r="D129" s="238"/>
      <c r="E129" s="238"/>
      <c r="F129" s="239"/>
      <c r="G129" s="239"/>
      <c r="H129" s="238"/>
      <c r="I129" s="238"/>
      <c r="J129" s="309">
        <f t="shared" si="4"/>
        <v>0</v>
      </c>
      <c r="K129" s="309"/>
      <c r="L129" s="343"/>
      <c r="M129" s="22">
        <v>109</v>
      </c>
      <c r="N129" s="239"/>
      <c r="O129" s="239"/>
      <c r="P129" s="238"/>
      <c r="Q129" s="238"/>
      <c r="R129" s="239"/>
      <c r="S129" s="239"/>
      <c r="T129" s="23"/>
      <c r="U129" s="256">
        <f t="shared" si="5"/>
        <v>0</v>
      </c>
      <c r="V129" s="257"/>
      <c r="W129"/>
      <c r="X129"/>
    </row>
    <row r="130" spans="1:24" ht="22.5" customHeight="1" x14ac:dyDescent="0.25">
      <c r="A130" s="14">
        <v>110</v>
      </c>
      <c r="B130" s="252"/>
      <c r="C130" s="252"/>
      <c r="D130" s="251"/>
      <c r="E130" s="251"/>
      <c r="F130" s="252"/>
      <c r="G130" s="252"/>
      <c r="H130" s="251"/>
      <c r="I130" s="251"/>
      <c r="J130" s="323">
        <f t="shared" si="4"/>
        <v>0</v>
      </c>
      <c r="K130" s="324"/>
      <c r="L130" s="343"/>
      <c r="M130" s="15">
        <v>110</v>
      </c>
      <c r="N130" s="260"/>
      <c r="O130" s="260"/>
      <c r="P130" s="259"/>
      <c r="Q130" s="259"/>
      <c r="R130" s="260"/>
      <c r="S130" s="260"/>
      <c r="T130" s="24"/>
      <c r="U130" s="340">
        <f t="shared" si="5"/>
        <v>0</v>
      </c>
      <c r="V130" s="341"/>
      <c r="W130"/>
      <c r="X130"/>
    </row>
    <row r="131" spans="1:24" ht="22.5" customHeight="1" x14ac:dyDescent="0.25">
      <c r="A131" s="22">
        <v>111</v>
      </c>
      <c r="B131" s="239"/>
      <c r="C131" s="239"/>
      <c r="D131" s="238"/>
      <c r="E131" s="238"/>
      <c r="F131" s="239"/>
      <c r="G131" s="239"/>
      <c r="H131" s="238"/>
      <c r="I131" s="238"/>
      <c r="J131" s="309">
        <f t="shared" si="4"/>
        <v>0</v>
      </c>
      <c r="K131" s="309"/>
      <c r="L131" s="343"/>
      <c r="M131" s="22">
        <v>111</v>
      </c>
      <c r="N131" s="239"/>
      <c r="O131" s="239"/>
      <c r="P131" s="238"/>
      <c r="Q131" s="238"/>
      <c r="R131" s="239"/>
      <c r="S131" s="239"/>
      <c r="T131" s="23"/>
      <c r="U131" s="256">
        <f t="shared" si="5"/>
        <v>0</v>
      </c>
      <c r="V131" s="257"/>
      <c r="W131"/>
      <c r="X131"/>
    </row>
    <row r="132" spans="1:24" ht="22.5" customHeight="1" x14ac:dyDescent="0.25">
      <c r="A132" s="14">
        <v>112</v>
      </c>
      <c r="B132" s="252"/>
      <c r="C132" s="252"/>
      <c r="D132" s="251"/>
      <c r="E132" s="251"/>
      <c r="F132" s="252"/>
      <c r="G132" s="252"/>
      <c r="H132" s="251"/>
      <c r="I132" s="251"/>
      <c r="J132" s="323">
        <f t="shared" si="4"/>
        <v>0</v>
      </c>
      <c r="K132" s="324"/>
      <c r="L132" s="343"/>
      <c r="M132" s="15">
        <v>112</v>
      </c>
      <c r="N132" s="260"/>
      <c r="O132" s="260"/>
      <c r="P132" s="259"/>
      <c r="Q132" s="259"/>
      <c r="R132" s="260"/>
      <c r="S132" s="260"/>
      <c r="T132" s="24"/>
      <c r="U132" s="340">
        <f t="shared" si="5"/>
        <v>0</v>
      </c>
      <c r="V132" s="341"/>
      <c r="W132"/>
      <c r="X132"/>
    </row>
    <row r="133" spans="1:24" ht="22.5" customHeight="1" x14ac:dyDescent="0.25">
      <c r="A133" s="22">
        <v>113</v>
      </c>
      <c r="B133" s="239"/>
      <c r="C133" s="239"/>
      <c r="D133" s="238"/>
      <c r="E133" s="238"/>
      <c r="F133" s="239"/>
      <c r="G133" s="239"/>
      <c r="H133" s="238"/>
      <c r="I133" s="238"/>
      <c r="J133" s="309">
        <f t="shared" si="4"/>
        <v>0</v>
      </c>
      <c r="K133" s="309"/>
      <c r="L133" s="343"/>
      <c r="M133" s="22">
        <v>113</v>
      </c>
      <c r="N133" s="239"/>
      <c r="O133" s="239"/>
      <c r="P133" s="238"/>
      <c r="Q133" s="238"/>
      <c r="R133" s="239"/>
      <c r="S133" s="239"/>
      <c r="T133" s="23"/>
      <c r="U133" s="256">
        <f t="shared" si="5"/>
        <v>0</v>
      </c>
      <c r="V133" s="257"/>
      <c r="W133"/>
      <c r="X133"/>
    </row>
    <row r="134" spans="1:24" ht="22.5" customHeight="1" x14ac:dyDescent="0.25">
      <c r="A134" s="14">
        <v>114</v>
      </c>
      <c r="B134" s="252"/>
      <c r="C134" s="252"/>
      <c r="D134" s="251"/>
      <c r="E134" s="251"/>
      <c r="F134" s="252"/>
      <c r="G134" s="252"/>
      <c r="H134" s="251"/>
      <c r="I134" s="251"/>
      <c r="J134" s="323">
        <f t="shared" si="4"/>
        <v>0</v>
      </c>
      <c r="K134" s="324"/>
      <c r="L134" s="343"/>
      <c r="M134" s="15">
        <v>114</v>
      </c>
      <c r="N134" s="260"/>
      <c r="O134" s="260"/>
      <c r="P134" s="259"/>
      <c r="Q134" s="259"/>
      <c r="R134" s="260"/>
      <c r="S134" s="260"/>
      <c r="T134" s="24"/>
      <c r="U134" s="340">
        <f t="shared" si="5"/>
        <v>0</v>
      </c>
      <c r="V134" s="341"/>
      <c r="W134"/>
      <c r="X134"/>
    </row>
    <row r="135" spans="1:24" ht="22.5" customHeight="1" x14ac:dyDescent="0.25">
      <c r="A135" s="22">
        <v>115</v>
      </c>
      <c r="B135" s="239"/>
      <c r="C135" s="239"/>
      <c r="D135" s="238"/>
      <c r="E135" s="238"/>
      <c r="F135" s="239"/>
      <c r="G135" s="239"/>
      <c r="H135" s="238"/>
      <c r="I135" s="238"/>
      <c r="J135" s="309">
        <f t="shared" si="4"/>
        <v>0</v>
      </c>
      <c r="K135" s="309"/>
      <c r="L135" s="343"/>
      <c r="M135" s="22">
        <v>115</v>
      </c>
      <c r="N135" s="239"/>
      <c r="O135" s="239"/>
      <c r="P135" s="238"/>
      <c r="Q135" s="238"/>
      <c r="R135" s="239"/>
      <c r="S135" s="239"/>
      <c r="T135" s="23"/>
      <c r="U135" s="256">
        <f t="shared" si="5"/>
        <v>0</v>
      </c>
      <c r="V135" s="257"/>
      <c r="W135"/>
      <c r="X135"/>
    </row>
    <row r="136" spans="1:24" ht="22.5" customHeight="1" x14ac:dyDescent="0.25">
      <c r="A136" s="14">
        <v>116</v>
      </c>
      <c r="B136" s="252"/>
      <c r="C136" s="252"/>
      <c r="D136" s="251"/>
      <c r="E136" s="251"/>
      <c r="F136" s="252"/>
      <c r="G136" s="252"/>
      <c r="H136" s="251"/>
      <c r="I136" s="251"/>
      <c r="J136" s="323">
        <f t="shared" si="4"/>
        <v>0</v>
      </c>
      <c r="K136" s="324"/>
      <c r="L136" s="343"/>
      <c r="M136" s="15">
        <v>116</v>
      </c>
      <c r="N136" s="260"/>
      <c r="O136" s="260"/>
      <c r="P136" s="259"/>
      <c r="Q136" s="259"/>
      <c r="R136" s="260"/>
      <c r="S136" s="260"/>
      <c r="T136" s="24"/>
      <c r="U136" s="340">
        <f t="shared" si="5"/>
        <v>0</v>
      </c>
      <c r="V136" s="341"/>
      <c r="W136"/>
      <c r="X136"/>
    </row>
    <row r="137" spans="1:24" ht="22.5" customHeight="1" x14ac:dyDescent="0.25">
      <c r="A137" s="22">
        <v>117</v>
      </c>
      <c r="B137" s="239"/>
      <c r="C137" s="239"/>
      <c r="D137" s="238"/>
      <c r="E137" s="238"/>
      <c r="F137" s="239"/>
      <c r="G137" s="239"/>
      <c r="H137" s="238"/>
      <c r="I137" s="238"/>
      <c r="J137" s="309">
        <f t="shared" si="4"/>
        <v>0</v>
      </c>
      <c r="K137" s="309"/>
      <c r="L137" s="343"/>
      <c r="M137" s="22">
        <v>117</v>
      </c>
      <c r="N137" s="239"/>
      <c r="O137" s="239"/>
      <c r="P137" s="238"/>
      <c r="Q137" s="238"/>
      <c r="R137" s="239"/>
      <c r="S137" s="239"/>
      <c r="T137" s="23"/>
      <c r="U137" s="256">
        <f t="shared" si="5"/>
        <v>0</v>
      </c>
      <c r="V137" s="257"/>
      <c r="W137"/>
      <c r="X137"/>
    </row>
    <row r="138" spans="1:24" ht="22.5" customHeight="1" x14ac:dyDescent="0.25">
      <c r="A138" s="14">
        <v>118</v>
      </c>
      <c r="B138" s="252"/>
      <c r="C138" s="252"/>
      <c r="D138" s="251"/>
      <c r="E138" s="251"/>
      <c r="F138" s="252"/>
      <c r="G138" s="252"/>
      <c r="H138" s="251"/>
      <c r="I138" s="251"/>
      <c r="J138" s="323">
        <f t="shared" si="4"/>
        <v>0</v>
      </c>
      <c r="K138" s="324"/>
      <c r="L138" s="343"/>
      <c r="M138" s="15">
        <v>118</v>
      </c>
      <c r="N138" s="260"/>
      <c r="O138" s="260"/>
      <c r="P138" s="259"/>
      <c r="Q138" s="259"/>
      <c r="R138" s="260"/>
      <c r="S138" s="260"/>
      <c r="T138" s="24"/>
      <c r="U138" s="340">
        <f t="shared" si="5"/>
        <v>0</v>
      </c>
      <c r="V138" s="341"/>
      <c r="W138"/>
      <c r="X138"/>
    </row>
    <row r="139" spans="1:24" ht="22.5" customHeight="1" x14ac:dyDescent="0.25">
      <c r="A139" s="22">
        <v>119</v>
      </c>
      <c r="B139" s="239"/>
      <c r="C139" s="239"/>
      <c r="D139" s="238"/>
      <c r="E139" s="238"/>
      <c r="F139" s="239"/>
      <c r="G139" s="239"/>
      <c r="H139" s="238"/>
      <c r="I139" s="238"/>
      <c r="J139" s="309">
        <f t="shared" si="4"/>
        <v>0</v>
      </c>
      <c r="K139" s="309"/>
      <c r="L139" s="343"/>
      <c r="M139" s="22">
        <v>119</v>
      </c>
      <c r="N139" s="239"/>
      <c r="O139" s="239"/>
      <c r="P139" s="238"/>
      <c r="Q139" s="238"/>
      <c r="R139" s="239"/>
      <c r="S139" s="239"/>
      <c r="T139" s="23"/>
      <c r="U139" s="256">
        <f t="shared" si="5"/>
        <v>0</v>
      </c>
      <c r="V139" s="257"/>
      <c r="W139"/>
      <c r="X139"/>
    </row>
    <row r="140" spans="1:24" ht="22.5" customHeight="1" x14ac:dyDescent="0.25">
      <c r="A140" s="14">
        <v>120</v>
      </c>
      <c r="B140" s="252"/>
      <c r="C140" s="252"/>
      <c r="D140" s="251"/>
      <c r="E140" s="251"/>
      <c r="F140" s="252"/>
      <c r="G140" s="252"/>
      <c r="H140" s="251"/>
      <c r="I140" s="251"/>
      <c r="J140" s="323">
        <f t="shared" si="4"/>
        <v>0</v>
      </c>
      <c r="K140" s="324"/>
      <c r="L140" s="343"/>
      <c r="M140" s="15">
        <v>120</v>
      </c>
      <c r="N140" s="260"/>
      <c r="O140" s="260"/>
      <c r="P140" s="259"/>
      <c r="Q140" s="259"/>
      <c r="R140" s="260"/>
      <c r="S140" s="260"/>
      <c r="T140" s="24"/>
      <c r="U140" s="340">
        <f t="shared" si="5"/>
        <v>0</v>
      </c>
      <c r="V140" s="341"/>
      <c r="W140"/>
      <c r="X140"/>
    </row>
    <row r="141" spans="1:24" ht="22.5" customHeight="1" x14ac:dyDescent="0.25">
      <c r="A141" s="22">
        <v>121</v>
      </c>
      <c r="B141" s="239"/>
      <c r="C141" s="239"/>
      <c r="D141" s="238"/>
      <c r="E141" s="238"/>
      <c r="F141" s="239"/>
      <c r="G141" s="239"/>
      <c r="H141" s="238"/>
      <c r="I141" s="238"/>
      <c r="J141" s="309">
        <f t="shared" si="4"/>
        <v>0</v>
      </c>
      <c r="K141" s="309"/>
      <c r="L141" s="343"/>
      <c r="M141" s="22">
        <v>121</v>
      </c>
      <c r="N141" s="239"/>
      <c r="O141" s="239"/>
      <c r="P141" s="238"/>
      <c r="Q141" s="238"/>
      <c r="R141" s="239"/>
      <c r="S141" s="239"/>
      <c r="T141" s="23"/>
      <c r="U141" s="256">
        <f t="shared" si="5"/>
        <v>0</v>
      </c>
      <c r="V141" s="257"/>
      <c r="W141"/>
      <c r="X141"/>
    </row>
    <row r="142" spans="1:24" ht="22.5" customHeight="1" x14ac:dyDescent="0.25">
      <c r="A142" s="14">
        <v>122</v>
      </c>
      <c r="B142" s="252"/>
      <c r="C142" s="252"/>
      <c r="D142" s="251"/>
      <c r="E142" s="251"/>
      <c r="F142" s="252"/>
      <c r="G142" s="252"/>
      <c r="H142" s="251"/>
      <c r="I142" s="251"/>
      <c r="J142" s="323">
        <f t="shared" si="4"/>
        <v>0</v>
      </c>
      <c r="K142" s="324"/>
      <c r="L142" s="343"/>
      <c r="M142" s="15">
        <v>122</v>
      </c>
      <c r="N142" s="260"/>
      <c r="O142" s="260"/>
      <c r="P142" s="259"/>
      <c r="Q142" s="259"/>
      <c r="R142" s="260"/>
      <c r="S142" s="260"/>
      <c r="T142" s="24"/>
      <c r="U142" s="340">
        <f t="shared" si="5"/>
        <v>0</v>
      </c>
      <c r="V142" s="341"/>
      <c r="W142"/>
      <c r="X142"/>
    </row>
    <row r="143" spans="1:24" ht="22.5" customHeight="1" x14ac:dyDescent="0.25">
      <c r="A143" s="22">
        <v>123</v>
      </c>
      <c r="B143" s="239"/>
      <c r="C143" s="239"/>
      <c r="D143" s="238"/>
      <c r="E143" s="238"/>
      <c r="F143" s="239"/>
      <c r="G143" s="239"/>
      <c r="H143" s="238"/>
      <c r="I143" s="238"/>
      <c r="J143" s="309">
        <f t="shared" si="4"/>
        <v>0</v>
      </c>
      <c r="K143" s="309"/>
      <c r="L143" s="343"/>
      <c r="M143" s="22">
        <v>123</v>
      </c>
      <c r="N143" s="239"/>
      <c r="O143" s="239"/>
      <c r="P143" s="238"/>
      <c r="Q143" s="238"/>
      <c r="R143" s="239"/>
      <c r="S143" s="239"/>
      <c r="T143" s="23"/>
      <c r="U143" s="256">
        <f t="shared" si="5"/>
        <v>0</v>
      </c>
      <c r="V143" s="257"/>
      <c r="W143"/>
      <c r="X143"/>
    </row>
    <row r="144" spans="1:24" ht="22.5" customHeight="1" x14ac:dyDescent="0.25">
      <c r="A144" s="14">
        <v>124</v>
      </c>
      <c r="B144" s="252"/>
      <c r="C144" s="252"/>
      <c r="D144" s="251"/>
      <c r="E144" s="251"/>
      <c r="F144" s="252"/>
      <c r="G144" s="252"/>
      <c r="H144" s="251"/>
      <c r="I144" s="251"/>
      <c r="J144" s="323">
        <f t="shared" si="4"/>
        <v>0</v>
      </c>
      <c r="K144" s="324"/>
      <c r="L144" s="343"/>
      <c r="M144" s="15">
        <v>124</v>
      </c>
      <c r="N144" s="260"/>
      <c r="O144" s="260"/>
      <c r="P144" s="259"/>
      <c r="Q144" s="259"/>
      <c r="R144" s="260"/>
      <c r="S144" s="260"/>
      <c r="T144" s="24"/>
      <c r="U144" s="340">
        <f t="shared" si="5"/>
        <v>0</v>
      </c>
      <c r="V144" s="341"/>
      <c r="W144"/>
      <c r="X144"/>
    </row>
    <row r="145" spans="1:24" ht="22.5" customHeight="1" x14ac:dyDescent="0.25">
      <c r="A145" s="22">
        <v>125</v>
      </c>
      <c r="B145" s="239"/>
      <c r="C145" s="239"/>
      <c r="D145" s="238"/>
      <c r="E145" s="238"/>
      <c r="F145" s="239"/>
      <c r="G145" s="239"/>
      <c r="H145" s="238"/>
      <c r="I145" s="238"/>
      <c r="J145" s="309">
        <f t="shared" si="4"/>
        <v>0</v>
      </c>
      <c r="K145" s="309"/>
      <c r="L145" s="343"/>
      <c r="M145" s="22">
        <v>125</v>
      </c>
      <c r="N145" s="239"/>
      <c r="O145" s="239"/>
      <c r="P145" s="238"/>
      <c r="Q145" s="238"/>
      <c r="R145" s="239"/>
      <c r="S145" s="239"/>
      <c r="T145" s="23"/>
      <c r="U145" s="256">
        <f t="shared" si="5"/>
        <v>0</v>
      </c>
      <c r="V145" s="257"/>
      <c r="W145"/>
      <c r="X145"/>
    </row>
    <row r="146" spans="1:24" ht="22.5" customHeight="1" x14ac:dyDescent="0.25">
      <c r="A146" s="14">
        <v>126</v>
      </c>
      <c r="B146" s="252"/>
      <c r="C146" s="252"/>
      <c r="D146" s="251"/>
      <c r="E146" s="251"/>
      <c r="F146" s="252"/>
      <c r="G146" s="252"/>
      <c r="H146" s="251"/>
      <c r="I146" s="251"/>
      <c r="J146" s="323">
        <f t="shared" si="4"/>
        <v>0</v>
      </c>
      <c r="K146" s="324"/>
      <c r="L146" s="343"/>
      <c r="M146" s="15">
        <v>126</v>
      </c>
      <c r="N146" s="260"/>
      <c r="O146" s="260"/>
      <c r="P146" s="259"/>
      <c r="Q146" s="259"/>
      <c r="R146" s="260"/>
      <c r="S146" s="260"/>
      <c r="T146" s="24"/>
      <c r="U146" s="340">
        <f t="shared" si="5"/>
        <v>0</v>
      </c>
      <c r="V146" s="341"/>
      <c r="W146"/>
      <c r="X146"/>
    </row>
    <row r="147" spans="1:24" ht="22.5" customHeight="1" x14ac:dyDescent="0.25">
      <c r="A147" s="22">
        <v>127</v>
      </c>
      <c r="B147" s="239"/>
      <c r="C147" s="239"/>
      <c r="D147" s="238"/>
      <c r="E147" s="238"/>
      <c r="F147" s="239"/>
      <c r="G147" s="239"/>
      <c r="H147" s="238"/>
      <c r="I147" s="238"/>
      <c r="J147" s="309">
        <f t="shared" si="4"/>
        <v>0</v>
      </c>
      <c r="K147" s="309"/>
      <c r="L147" s="343"/>
      <c r="M147" s="22">
        <v>127</v>
      </c>
      <c r="N147" s="239"/>
      <c r="O147" s="239"/>
      <c r="P147" s="238"/>
      <c r="Q147" s="238"/>
      <c r="R147" s="239"/>
      <c r="S147" s="239"/>
      <c r="T147" s="23"/>
      <c r="U147" s="256">
        <f t="shared" si="5"/>
        <v>0</v>
      </c>
      <c r="V147" s="257"/>
      <c r="W147"/>
      <c r="X147"/>
    </row>
    <row r="148" spans="1:24" ht="22.5" customHeight="1" x14ac:dyDescent="0.25">
      <c r="A148" s="14">
        <v>128</v>
      </c>
      <c r="B148" s="252"/>
      <c r="C148" s="252"/>
      <c r="D148" s="251"/>
      <c r="E148" s="251"/>
      <c r="F148" s="252"/>
      <c r="G148" s="252"/>
      <c r="H148" s="251"/>
      <c r="I148" s="251"/>
      <c r="J148" s="323">
        <f t="shared" si="4"/>
        <v>0</v>
      </c>
      <c r="K148" s="324"/>
      <c r="L148" s="343"/>
      <c r="M148" s="15">
        <v>128</v>
      </c>
      <c r="N148" s="260"/>
      <c r="O148" s="260"/>
      <c r="P148" s="259"/>
      <c r="Q148" s="259"/>
      <c r="R148" s="260"/>
      <c r="S148" s="260"/>
      <c r="T148" s="24"/>
      <c r="U148" s="340">
        <f t="shared" si="5"/>
        <v>0</v>
      </c>
      <c r="V148" s="341"/>
      <c r="W148"/>
      <c r="X148"/>
    </row>
    <row r="149" spans="1:24" ht="22.5" customHeight="1" x14ac:dyDescent="0.25">
      <c r="A149" s="22">
        <v>129</v>
      </c>
      <c r="B149" s="239"/>
      <c r="C149" s="239"/>
      <c r="D149" s="238"/>
      <c r="E149" s="238"/>
      <c r="F149" s="239"/>
      <c r="G149" s="239"/>
      <c r="H149" s="238"/>
      <c r="I149" s="238"/>
      <c r="J149" s="309">
        <f t="shared" si="4"/>
        <v>0</v>
      </c>
      <c r="K149" s="309"/>
      <c r="L149" s="343"/>
      <c r="M149" s="22">
        <v>129</v>
      </c>
      <c r="N149" s="239"/>
      <c r="O149" s="239"/>
      <c r="P149" s="238"/>
      <c r="Q149" s="238"/>
      <c r="R149" s="239"/>
      <c r="S149" s="239"/>
      <c r="T149" s="23"/>
      <c r="U149" s="256">
        <f t="shared" si="5"/>
        <v>0</v>
      </c>
      <c r="V149" s="257"/>
      <c r="W149"/>
      <c r="X149"/>
    </row>
    <row r="150" spans="1:24" ht="22.5" customHeight="1" x14ac:dyDescent="0.25">
      <c r="A150" s="14">
        <v>130</v>
      </c>
      <c r="B150" s="252"/>
      <c r="C150" s="252"/>
      <c r="D150" s="251"/>
      <c r="E150" s="251"/>
      <c r="F150" s="252"/>
      <c r="G150" s="252"/>
      <c r="H150" s="251"/>
      <c r="I150" s="251"/>
      <c r="J150" s="323">
        <f t="shared" ref="J150:J213" si="6">D150*F150+H150</f>
        <v>0</v>
      </c>
      <c r="K150" s="324"/>
      <c r="L150" s="343"/>
      <c r="M150" s="15">
        <v>130</v>
      </c>
      <c r="N150" s="260"/>
      <c r="O150" s="260"/>
      <c r="P150" s="259"/>
      <c r="Q150" s="259"/>
      <c r="R150" s="260"/>
      <c r="S150" s="260"/>
      <c r="T150" s="24"/>
      <c r="U150" s="340">
        <f t="shared" si="5"/>
        <v>0</v>
      </c>
      <c r="V150" s="341"/>
      <c r="W150"/>
      <c r="X150"/>
    </row>
    <row r="151" spans="1:24" ht="22.5" customHeight="1" x14ac:dyDescent="0.25">
      <c r="A151" s="22">
        <v>131</v>
      </c>
      <c r="B151" s="239"/>
      <c r="C151" s="239"/>
      <c r="D151" s="238"/>
      <c r="E151" s="238"/>
      <c r="F151" s="239"/>
      <c r="G151" s="239"/>
      <c r="H151" s="238"/>
      <c r="I151" s="238"/>
      <c r="J151" s="309">
        <f t="shared" si="6"/>
        <v>0</v>
      </c>
      <c r="K151" s="309"/>
      <c r="L151" s="343"/>
      <c r="M151" s="22">
        <v>131</v>
      </c>
      <c r="N151" s="239"/>
      <c r="O151" s="239"/>
      <c r="P151" s="238"/>
      <c r="Q151" s="238"/>
      <c r="R151" s="239"/>
      <c r="S151" s="239"/>
      <c r="T151" s="23"/>
      <c r="U151" s="256">
        <f t="shared" ref="U151:U170" si="7">P151+R151</f>
        <v>0</v>
      </c>
      <c r="V151" s="257"/>
      <c r="W151"/>
      <c r="X151"/>
    </row>
    <row r="152" spans="1:24" ht="22.5" customHeight="1" x14ac:dyDescent="0.25">
      <c r="A152" s="14">
        <v>132</v>
      </c>
      <c r="B152" s="252"/>
      <c r="C152" s="252"/>
      <c r="D152" s="251"/>
      <c r="E152" s="251"/>
      <c r="F152" s="252"/>
      <c r="G152" s="252"/>
      <c r="H152" s="251"/>
      <c r="I152" s="251"/>
      <c r="J152" s="323">
        <f t="shared" si="6"/>
        <v>0</v>
      </c>
      <c r="K152" s="324"/>
      <c r="L152" s="343"/>
      <c r="M152" s="15">
        <v>132</v>
      </c>
      <c r="N152" s="260"/>
      <c r="O152" s="260"/>
      <c r="P152" s="259"/>
      <c r="Q152" s="259"/>
      <c r="R152" s="260"/>
      <c r="S152" s="260"/>
      <c r="T152" s="24"/>
      <c r="U152" s="340">
        <f t="shared" si="7"/>
        <v>0</v>
      </c>
      <c r="V152" s="341"/>
      <c r="W152"/>
      <c r="X152"/>
    </row>
    <row r="153" spans="1:24" ht="22.5" customHeight="1" x14ac:dyDescent="0.25">
      <c r="A153" s="22">
        <v>133</v>
      </c>
      <c r="B153" s="239"/>
      <c r="C153" s="239"/>
      <c r="D153" s="238"/>
      <c r="E153" s="238"/>
      <c r="F153" s="239"/>
      <c r="G153" s="239"/>
      <c r="H153" s="238"/>
      <c r="I153" s="238"/>
      <c r="J153" s="309">
        <f t="shared" si="6"/>
        <v>0</v>
      </c>
      <c r="K153" s="309"/>
      <c r="L153" s="343"/>
      <c r="M153" s="22">
        <v>133</v>
      </c>
      <c r="N153" s="239"/>
      <c r="O153" s="239"/>
      <c r="P153" s="238"/>
      <c r="Q153" s="238"/>
      <c r="R153" s="239"/>
      <c r="S153" s="239"/>
      <c r="T153" s="23"/>
      <c r="U153" s="256">
        <f t="shared" si="7"/>
        <v>0</v>
      </c>
      <c r="V153" s="257"/>
      <c r="W153"/>
      <c r="X153"/>
    </row>
    <row r="154" spans="1:24" ht="22.5" customHeight="1" x14ac:dyDescent="0.25">
      <c r="A154" s="14">
        <v>134</v>
      </c>
      <c r="B154" s="252"/>
      <c r="C154" s="252"/>
      <c r="D154" s="251"/>
      <c r="E154" s="251"/>
      <c r="F154" s="252"/>
      <c r="G154" s="252"/>
      <c r="H154" s="251"/>
      <c r="I154" s="251"/>
      <c r="J154" s="323">
        <f t="shared" si="6"/>
        <v>0</v>
      </c>
      <c r="K154" s="324"/>
      <c r="L154" s="343"/>
      <c r="M154" s="15">
        <v>134</v>
      </c>
      <c r="N154" s="260"/>
      <c r="O154" s="260"/>
      <c r="P154" s="259"/>
      <c r="Q154" s="259"/>
      <c r="R154" s="260"/>
      <c r="S154" s="260"/>
      <c r="T154" s="24"/>
      <c r="U154" s="340">
        <f t="shared" si="7"/>
        <v>0</v>
      </c>
      <c r="V154" s="341"/>
      <c r="W154"/>
      <c r="X154"/>
    </row>
    <row r="155" spans="1:24" ht="22.5" customHeight="1" x14ac:dyDescent="0.25">
      <c r="A155" s="22">
        <v>135</v>
      </c>
      <c r="B155" s="239"/>
      <c r="C155" s="239"/>
      <c r="D155" s="238"/>
      <c r="E155" s="238"/>
      <c r="F155" s="239"/>
      <c r="G155" s="239"/>
      <c r="H155" s="238"/>
      <c r="I155" s="238"/>
      <c r="J155" s="309">
        <f t="shared" si="6"/>
        <v>0</v>
      </c>
      <c r="K155" s="309"/>
      <c r="L155" s="343"/>
      <c r="M155" s="22">
        <v>135</v>
      </c>
      <c r="N155" s="239"/>
      <c r="O155" s="239"/>
      <c r="P155" s="238"/>
      <c r="Q155" s="238"/>
      <c r="R155" s="239"/>
      <c r="S155" s="239"/>
      <c r="T155" s="23"/>
      <c r="U155" s="256">
        <f t="shared" si="7"/>
        <v>0</v>
      </c>
      <c r="V155" s="257"/>
      <c r="W155"/>
      <c r="X155"/>
    </row>
    <row r="156" spans="1:24" ht="22.5" customHeight="1" x14ac:dyDescent="0.25">
      <c r="A156" s="14">
        <v>136</v>
      </c>
      <c r="B156" s="252"/>
      <c r="C156" s="252"/>
      <c r="D156" s="251"/>
      <c r="E156" s="251"/>
      <c r="F156" s="252"/>
      <c r="G156" s="252"/>
      <c r="H156" s="251"/>
      <c r="I156" s="251"/>
      <c r="J156" s="323">
        <f t="shared" si="6"/>
        <v>0</v>
      </c>
      <c r="K156" s="324"/>
      <c r="L156" s="343"/>
      <c r="M156" s="15">
        <v>136</v>
      </c>
      <c r="N156" s="260"/>
      <c r="O156" s="260"/>
      <c r="P156" s="259"/>
      <c r="Q156" s="259"/>
      <c r="R156" s="260"/>
      <c r="S156" s="260"/>
      <c r="T156" s="24"/>
      <c r="U156" s="340">
        <f t="shared" si="7"/>
        <v>0</v>
      </c>
      <c r="V156" s="341"/>
      <c r="W156"/>
      <c r="X156"/>
    </row>
    <row r="157" spans="1:24" ht="22.5" customHeight="1" x14ac:dyDescent="0.25">
      <c r="A157" s="22">
        <v>137</v>
      </c>
      <c r="B157" s="239"/>
      <c r="C157" s="239"/>
      <c r="D157" s="238"/>
      <c r="E157" s="238"/>
      <c r="F157" s="239"/>
      <c r="G157" s="239"/>
      <c r="H157" s="238"/>
      <c r="I157" s="238"/>
      <c r="J157" s="309">
        <f t="shared" si="6"/>
        <v>0</v>
      </c>
      <c r="K157" s="309"/>
      <c r="L157" s="343"/>
      <c r="M157" s="22">
        <v>137</v>
      </c>
      <c r="N157" s="239"/>
      <c r="O157" s="239"/>
      <c r="P157" s="238"/>
      <c r="Q157" s="238"/>
      <c r="R157" s="239"/>
      <c r="S157" s="239"/>
      <c r="T157" s="23"/>
      <c r="U157" s="256">
        <f t="shared" si="7"/>
        <v>0</v>
      </c>
      <c r="V157" s="257"/>
      <c r="W157"/>
      <c r="X157"/>
    </row>
    <row r="158" spans="1:24" ht="22.5" customHeight="1" x14ac:dyDescent="0.25">
      <c r="A158" s="14">
        <v>138</v>
      </c>
      <c r="B158" s="252"/>
      <c r="C158" s="252"/>
      <c r="D158" s="251"/>
      <c r="E158" s="251"/>
      <c r="F158" s="252"/>
      <c r="G158" s="252"/>
      <c r="H158" s="251"/>
      <c r="I158" s="251"/>
      <c r="J158" s="323">
        <f t="shared" si="6"/>
        <v>0</v>
      </c>
      <c r="K158" s="324"/>
      <c r="L158" s="343"/>
      <c r="M158" s="15">
        <v>138</v>
      </c>
      <c r="N158" s="260"/>
      <c r="O158" s="260"/>
      <c r="P158" s="259"/>
      <c r="Q158" s="259"/>
      <c r="R158" s="260"/>
      <c r="S158" s="260"/>
      <c r="T158" s="24"/>
      <c r="U158" s="340">
        <f t="shared" si="7"/>
        <v>0</v>
      </c>
      <c r="V158" s="341"/>
      <c r="W158"/>
      <c r="X158"/>
    </row>
    <row r="159" spans="1:24" ht="22.5" customHeight="1" x14ac:dyDescent="0.25">
      <c r="A159" s="22">
        <v>139</v>
      </c>
      <c r="B159" s="239"/>
      <c r="C159" s="239"/>
      <c r="D159" s="238"/>
      <c r="E159" s="238"/>
      <c r="F159" s="239"/>
      <c r="G159" s="239"/>
      <c r="H159" s="238"/>
      <c r="I159" s="238"/>
      <c r="J159" s="309">
        <f t="shared" si="6"/>
        <v>0</v>
      </c>
      <c r="K159" s="309"/>
      <c r="L159" s="343"/>
      <c r="M159" s="22">
        <v>139</v>
      </c>
      <c r="N159" s="239"/>
      <c r="O159" s="239"/>
      <c r="P159" s="238"/>
      <c r="Q159" s="238"/>
      <c r="R159" s="239"/>
      <c r="S159" s="239"/>
      <c r="T159" s="23"/>
      <c r="U159" s="256">
        <f t="shared" si="7"/>
        <v>0</v>
      </c>
      <c r="V159" s="257"/>
      <c r="W159"/>
      <c r="X159"/>
    </row>
    <row r="160" spans="1:24" ht="22.5" customHeight="1" x14ac:dyDescent="0.25">
      <c r="A160" s="14">
        <v>140</v>
      </c>
      <c r="B160" s="252"/>
      <c r="C160" s="252"/>
      <c r="D160" s="251"/>
      <c r="E160" s="251"/>
      <c r="F160" s="252"/>
      <c r="G160" s="252"/>
      <c r="H160" s="251"/>
      <c r="I160" s="251"/>
      <c r="J160" s="323">
        <f t="shared" si="6"/>
        <v>0</v>
      </c>
      <c r="K160" s="324"/>
      <c r="L160" s="343"/>
      <c r="M160" s="15">
        <v>140</v>
      </c>
      <c r="N160" s="260"/>
      <c r="O160" s="260"/>
      <c r="P160" s="259"/>
      <c r="Q160" s="259"/>
      <c r="R160" s="260"/>
      <c r="S160" s="260"/>
      <c r="T160" s="24"/>
      <c r="U160" s="340">
        <f t="shared" si="7"/>
        <v>0</v>
      </c>
      <c r="V160" s="341"/>
      <c r="W160"/>
      <c r="X160"/>
    </row>
    <row r="161" spans="1:24" ht="22.5" customHeight="1" x14ac:dyDescent="0.25">
      <c r="A161" s="22">
        <v>141</v>
      </c>
      <c r="B161" s="239"/>
      <c r="C161" s="239"/>
      <c r="D161" s="238"/>
      <c r="E161" s="238"/>
      <c r="F161" s="239"/>
      <c r="G161" s="239"/>
      <c r="H161" s="238"/>
      <c r="I161" s="238"/>
      <c r="J161" s="309">
        <f t="shared" si="6"/>
        <v>0</v>
      </c>
      <c r="K161" s="309"/>
      <c r="L161" s="343"/>
      <c r="M161" s="22">
        <v>141</v>
      </c>
      <c r="N161" s="239"/>
      <c r="O161" s="239"/>
      <c r="P161" s="238"/>
      <c r="Q161" s="238"/>
      <c r="R161" s="239"/>
      <c r="S161" s="239"/>
      <c r="T161" s="23"/>
      <c r="U161" s="256">
        <f t="shared" si="7"/>
        <v>0</v>
      </c>
      <c r="V161" s="257"/>
      <c r="W161"/>
      <c r="X161"/>
    </row>
    <row r="162" spans="1:24" ht="22.5" customHeight="1" x14ac:dyDescent="0.25">
      <c r="A162" s="14">
        <v>142</v>
      </c>
      <c r="B162" s="252"/>
      <c r="C162" s="252"/>
      <c r="D162" s="251"/>
      <c r="E162" s="251"/>
      <c r="F162" s="252"/>
      <c r="G162" s="252"/>
      <c r="H162" s="251"/>
      <c r="I162" s="251"/>
      <c r="J162" s="323">
        <f t="shared" si="6"/>
        <v>0</v>
      </c>
      <c r="K162" s="324"/>
      <c r="L162" s="343"/>
      <c r="M162" s="15">
        <v>142</v>
      </c>
      <c r="N162" s="260"/>
      <c r="O162" s="260"/>
      <c r="P162" s="259"/>
      <c r="Q162" s="259"/>
      <c r="R162" s="260"/>
      <c r="S162" s="260"/>
      <c r="T162" s="24"/>
      <c r="U162" s="340">
        <f t="shared" si="7"/>
        <v>0</v>
      </c>
      <c r="V162" s="341"/>
      <c r="W162"/>
      <c r="X162"/>
    </row>
    <row r="163" spans="1:24" ht="22.5" customHeight="1" x14ac:dyDescent="0.25">
      <c r="A163" s="22">
        <v>143</v>
      </c>
      <c r="B163" s="239"/>
      <c r="C163" s="239"/>
      <c r="D163" s="238"/>
      <c r="E163" s="238"/>
      <c r="F163" s="239"/>
      <c r="G163" s="239"/>
      <c r="H163" s="238"/>
      <c r="I163" s="238"/>
      <c r="J163" s="309">
        <f t="shared" si="6"/>
        <v>0</v>
      </c>
      <c r="K163" s="309"/>
      <c r="L163" s="343"/>
      <c r="M163" s="22">
        <v>143</v>
      </c>
      <c r="N163" s="239"/>
      <c r="O163" s="239"/>
      <c r="P163" s="238"/>
      <c r="Q163" s="238"/>
      <c r="R163" s="239"/>
      <c r="S163" s="239"/>
      <c r="T163" s="23"/>
      <c r="U163" s="256">
        <f t="shared" si="7"/>
        <v>0</v>
      </c>
      <c r="V163" s="257"/>
      <c r="W163"/>
      <c r="X163"/>
    </row>
    <row r="164" spans="1:24" ht="22.5" customHeight="1" x14ac:dyDescent="0.25">
      <c r="A164" s="14">
        <v>144</v>
      </c>
      <c r="B164" s="252"/>
      <c r="C164" s="252"/>
      <c r="D164" s="251"/>
      <c r="E164" s="251"/>
      <c r="F164" s="252"/>
      <c r="G164" s="252"/>
      <c r="H164" s="251"/>
      <c r="I164" s="251"/>
      <c r="J164" s="323">
        <f t="shared" si="6"/>
        <v>0</v>
      </c>
      <c r="K164" s="324"/>
      <c r="L164" s="343"/>
      <c r="M164" s="15">
        <v>144</v>
      </c>
      <c r="N164" s="260"/>
      <c r="O164" s="260"/>
      <c r="P164" s="259"/>
      <c r="Q164" s="259"/>
      <c r="R164" s="260"/>
      <c r="S164" s="260"/>
      <c r="T164" s="24"/>
      <c r="U164" s="340">
        <f t="shared" si="7"/>
        <v>0</v>
      </c>
      <c r="V164" s="341"/>
      <c r="W164"/>
      <c r="X164"/>
    </row>
    <row r="165" spans="1:24" ht="22.5" customHeight="1" x14ac:dyDescent="0.25">
      <c r="A165" s="22">
        <v>145</v>
      </c>
      <c r="B165" s="239"/>
      <c r="C165" s="239"/>
      <c r="D165" s="238"/>
      <c r="E165" s="238"/>
      <c r="F165" s="239"/>
      <c r="G165" s="239"/>
      <c r="H165" s="238"/>
      <c r="I165" s="238"/>
      <c r="J165" s="309">
        <f t="shared" si="6"/>
        <v>0</v>
      </c>
      <c r="K165" s="309"/>
      <c r="L165" s="343"/>
      <c r="M165" s="22">
        <v>145</v>
      </c>
      <c r="N165" s="239"/>
      <c r="O165" s="239"/>
      <c r="P165" s="238"/>
      <c r="Q165" s="238"/>
      <c r="R165" s="239"/>
      <c r="S165" s="239"/>
      <c r="T165" s="23"/>
      <c r="U165" s="256">
        <f t="shared" si="7"/>
        <v>0</v>
      </c>
      <c r="V165" s="257"/>
      <c r="W165"/>
      <c r="X165"/>
    </row>
    <row r="166" spans="1:24" ht="22.5" customHeight="1" x14ac:dyDescent="0.25">
      <c r="A166" s="14">
        <v>146</v>
      </c>
      <c r="B166" s="252"/>
      <c r="C166" s="252"/>
      <c r="D166" s="251"/>
      <c r="E166" s="251"/>
      <c r="F166" s="252"/>
      <c r="G166" s="252"/>
      <c r="H166" s="251"/>
      <c r="I166" s="251"/>
      <c r="J166" s="323">
        <f t="shared" si="6"/>
        <v>0</v>
      </c>
      <c r="K166" s="324"/>
      <c r="L166" s="343"/>
      <c r="M166" s="15">
        <v>146</v>
      </c>
      <c r="N166" s="260"/>
      <c r="O166" s="260"/>
      <c r="P166" s="259"/>
      <c r="Q166" s="259"/>
      <c r="R166" s="260"/>
      <c r="S166" s="260"/>
      <c r="T166" s="24"/>
      <c r="U166" s="340">
        <f t="shared" si="7"/>
        <v>0</v>
      </c>
      <c r="V166" s="341"/>
      <c r="W166"/>
      <c r="X166"/>
    </row>
    <row r="167" spans="1:24" ht="22.5" customHeight="1" x14ac:dyDescent="0.25">
      <c r="A167" s="22">
        <v>147</v>
      </c>
      <c r="B167" s="239"/>
      <c r="C167" s="239"/>
      <c r="D167" s="238"/>
      <c r="E167" s="238"/>
      <c r="F167" s="239"/>
      <c r="G167" s="239"/>
      <c r="H167" s="238"/>
      <c r="I167" s="238"/>
      <c r="J167" s="309">
        <f t="shared" si="6"/>
        <v>0</v>
      </c>
      <c r="K167" s="309"/>
      <c r="L167" s="343"/>
      <c r="M167" s="22">
        <v>147</v>
      </c>
      <c r="N167" s="239"/>
      <c r="O167" s="239"/>
      <c r="P167" s="238"/>
      <c r="Q167" s="238"/>
      <c r="R167" s="239"/>
      <c r="S167" s="239"/>
      <c r="T167" s="23"/>
      <c r="U167" s="256">
        <f t="shared" si="7"/>
        <v>0</v>
      </c>
      <c r="V167" s="257"/>
      <c r="W167"/>
      <c r="X167"/>
    </row>
    <row r="168" spans="1:24" ht="22.5" customHeight="1" x14ac:dyDescent="0.25">
      <c r="A168" s="14">
        <v>148</v>
      </c>
      <c r="B168" s="252"/>
      <c r="C168" s="252"/>
      <c r="D168" s="251"/>
      <c r="E168" s="251"/>
      <c r="F168" s="252"/>
      <c r="G168" s="252"/>
      <c r="H168" s="251"/>
      <c r="I168" s="251"/>
      <c r="J168" s="323">
        <f t="shared" si="6"/>
        <v>0</v>
      </c>
      <c r="K168" s="324"/>
      <c r="L168" s="343"/>
      <c r="M168" s="15">
        <v>148</v>
      </c>
      <c r="N168" s="260"/>
      <c r="O168" s="260"/>
      <c r="P168" s="259"/>
      <c r="Q168" s="259"/>
      <c r="R168" s="260"/>
      <c r="S168" s="260"/>
      <c r="T168" s="24"/>
      <c r="U168" s="340">
        <f t="shared" si="7"/>
        <v>0</v>
      </c>
      <c r="V168" s="341"/>
      <c r="W168"/>
      <c r="X168"/>
    </row>
    <row r="169" spans="1:24" ht="22.5" customHeight="1" x14ac:dyDescent="0.25">
      <c r="A169" s="22">
        <v>149</v>
      </c>
      <c r="B169" s="239"/>
      <c r="C169" s="239"/>
      <c r="D169" s="238"/>
      <c r="E169" s="238"/>
      <c r="F169" s="239"/>
      <c r="G169" s="239"/>
      <c r="H169" s="238"/>
      <c r="I169" s="238"/>
      <c r="J169" s="309">
        <f t="shared" si="6"/>
        <v>0</v>
      </c>
      <c r="K169" s="309"/>
      <c r="L169" s="343"/>
      <c r="M169" s="22">
        <v>149</v>
      </c>
      <c r="N169" s="239"/>
      <c r="O169" s="239"/>
      <c r="P169" s="238"/>
      <c r="Q169" s="238"/>
      <c r="R169" s="239"/>
      <c r="S169" s="239"/>
      <c r="T169" s="23"/>
      <c r="U169" s="256">
        <f t="shared" si="7"/>
        <v>0</v>
      </c>
      <c r="V169" s="257"/>
      <c r="W169"/>
      <c r="X169"/>
    </row>
    <row r="170" spans="1:24" ht="22.5" customHeight="1" x14ac:dyDescent="0.25">
      <c r="A170" s="14">
        <v>150</v>
      </c>
      <c r="B170" s="252"/>
      <c r="C170" s="252"/>
      <c r="D170" s="251"/>
      <c r="E170" s="251"/>
      <c r="F170" s="252"/>
      <c r="G170" s="252"/>
      <c r="H170" s="251"/>
      <c r="I170" s="251"/>
      <c r="J170" s="323">
        <f t="shared" si="6"/>
        <v>0</v>
      </c>
      <c r="K170" s="324"/>
      <c r="L170" s="343"/>
      <c r="M170" s="15">
        <v>150</v>
      </c>
      <c r="N170" s="260"/>
      <c r="O170" s="260"/>
      <c r="P170" s="259"/>
      <c r="Q170" s="259"/>
      <c r="R170" s="260"/>
      <c r="S170" s="260"/>
      <c r="T170" s="24"/>
      <c r="U170" s="340">
        <f t="shared" si="7"/>
        <v>0</v>
      </c>
      <c r="V170" s="341"/>
      <c r="W170"/>
      <c r="X170"/>
    </row>
    <row r="171" spans="1:24" ht="22.5" customHeight="1" x14ac:dyDescent="0.25">
      <c r="A171" s="22">
        <v>151</v>
      </c>
      <c r="B171" s="239"/>
      <c r="C171" s="239"/>
      <c r="D171" s="238"/>
      <c r="E171" s="238"/>
      <c r="F171" s="239"/>
      <c r="G171" s="239"/>
      <c r="H171" s="238"/>
      <c r="I171" s="238"/>
      <c r="J171" s="309">
        <f t="shared" si="6"/>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6"/>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6"/>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6"/>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6"/>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6"/>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6"/>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6"/>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6"/>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6"/>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6"/>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6"/>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6"/>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6"/>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6"/>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6"/>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6"/>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6"/>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6"/>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6"/>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6"/>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6"/>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6"/>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6"/>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6"/>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6"/>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6"/>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6"/>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6"/>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6"/>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6"/>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6"/>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6"/>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6"/>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6"/>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6"/>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6"/>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6"/>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6"/>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6"/>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6"/>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6"/>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6"/>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8">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8"/>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8"/>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8"/>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8"/>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8"/>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8"/>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VLWawS7NH0t8gUC6eWqSfgmX2Ioy1gobO5n4dkD4dLzpkvoNBuAQQ/lPSKdimFMyk6IOict22OZQIOwxOoAhwQ==" saltValue="BqMrD08rsmCfcRuAzysIAQ=="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{EC0D0E97-8B52-4A1C-ADD8-8002A2CCF62C}</x14:id>
        </ext>
      </extLst>
    </cfRule>
  </conditionalFormatting>
  <conditionalFormatting sqref="U10:X11">
    <cfRule type="cellIs" dxfId="43" priority="3" operator="greaterThan">
      <formula>0</formula>
    </cfRule>
    <cfRule type="cellIs" dxfId="42" priority="4" operator="lessThan">
      <formula>0</formula>
    </cfRule>
  </conditionalFormatting>
  <conditionalFormatting sqref="F10:H11">
    <cfRule type="cellIs" dxfId="41" priority="1" operator="greaterThan">
      <formula>0</formula>
    </cfRule>
    <cfRule type="cellIs" dxfId="40"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EC0D0E97-8B52-4A1C-ADD8-8002A2CCF62C}">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8"/>
  <dimension ref="A1:AA263"/>
  <sheetViews>
    <sheetView showGridLines="0" tabSelected="1" zoomScale="70" zoomScaleNormal="70" workbookViewId="0">
      <selection activeCell="N6" sqref="N6:P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763</v>
      </c>
      <c r="B1" s="262"/>
      <c r="C1" s="313" t="str">
        <f>'Hisse İsimleri'!B7</f>
        <v>TTRAK</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50</v>
      </c>
      <c r="G4" s="271"/>
      <c r="H4" s="272"/>
      <c r="I4" s="267" t="s">
        <v>13</v>
      </c>
      <c r="J4" s="268"/>
      <c r="K4" s="268"/>
      <c r="L4" s="268"/>
      <c r="M4" s="268"/>
      <c r="N4" s="275" t="e">
        <f>AVERAGE(T21:T170)</f>
        <v>#DIV/0!</v>
      </c>
      <c r="O4" s="275"/>
      <c r="P4" s="276"/>
      <c r="Q4" s="267" t="s">
        <v>673</v>
      </c>
      <c r="R4" s="268"/>
      <c r="S4" s="268"/>
      <c r="T4" s="268"/>
      <c r="U4" s="279">
        <f>F8*F4</f>
        <v>26135.000000000004</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500</v>
      </c>
      <c r="G6" s="208"/>
      <c r="H6" s="209"/>
      <c r="I6" s="269" t="s">
        <v>674</v>
      </c>
      <c r="J6" s="270"/>
      <c r="K6" s="270"/>
      <c r="L6" s="270"/>
      <c r="M6" s="270"/>
      <c r="N6" s="282">
        <f>U6/F4</f>
        <v>327.05883839999996</v>
      </c>
      <c r="O6" s="282"/>
      <c r="P6" s="284"/>
      <c r="Q6" s="269" t="s">
        <v>675</v>
      </c>
      <c r="R6" s="270"/>
      <c r="S6" s="270"/>
      <c r="T6" s="270"/>
      <c r="U6" s="282">
        <f>SUM(J21:K220)-SUM(U21:U170)</f>
        <v>16352.941919999997</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İsimleri'!D7</f>
        <v>522.70000000000005</v>
      </c>
      <c r="G8" s="282"/>
      <c r="H8" s="284"/>
      <c r="I8" s="269" t="s">
        <v>677</v>
      </c>
      <c r="J8" s="270"/>
      <c r="K8" s="270"/>
      <c r="L8" s="270"/>
      <c r="M8" s="270"/>
      <c r="N8" s="282">
        <f>SUM(U21:U170)</f>
        <v>1674</v>
      </c>
      <c r="O8" s="282"/>
      <c r="P8" s="284"/>
      <c r="Q8" s="295" t="s">
        <v>678</v>
      </c>
      <c r="R8" s="296"/>
      <c r="S8" s="296"/>
      <c r="T8" s="297"/>
      <c r="U8" s="301">
        <f>SUM(H21:I220)</f>
        <v>35.981920000000002</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İsimleri'!E7</f>
        <v>-3.3799999999999997E-2</v>
      </c>
      <c r="G10" s="287"/>
      <c r="H10" s="288"/>
      <c r="I10" s="269" t="s">
        <v>710</v>
      </c>
      <c r="J10" s="270"/>
      <c r="K10" s="270"/>
      <c r="L10" s="270"/>
      <c r="M10" s="270"/>
      <c r="N10" s="291">
        <f>U10/U6</f>
        <v>0.59818338057180642</v>
      </c>
      <c r="O10" s="291"/>
      <c r="P10" s="292"/>
      <c r="Q10" s="295" t="s">
        <v>587</v>
      </c>
      <c r="R10" s="296"/>
      <c r="S10" s="296"/>
      <c r="T10" s="297"/>
      <c r="U10" s="301">
        <f>U4-U6</f>
        <v>9782.0580800000062</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10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235</v>
      </c>
      <c r="E21" s="238"/>
      <c r="F21" s="239">
        <v>6</v>
      </c>
      <c r="G21" s="239"/>
      <c r="H21" s="307">
        <f t="shared" ref="H21:H30" si="0">(D21*F21)*(2/1000)</f>
        <v>2.82</v>
      </c>
      <c r="I21" s="308"/>
      <c r="J21" s="309">
        <f>D21*F21+H21</f>
        <v>1412.82</v>
      </c>
      <c r="K21" s="309"/>
      <c r="L21" s="343"/>
      <c r="M21" s="22">
        <v>1</v>
      </c>
      <c r="N21" s="237">
        <v>44995</v>
      </c>
      <c r="O21" s="239"/>
      <c r="P21" s="238">
        <v>1674</v>
      </c>
      <c r="Q21" s="238"/>
      <c r="R21" s="239">
        <v>0</v>
      </c>
      <c r="S21" s="239"/>
      <c r="T21" s="23"/>
      <c r="U21" s="256">
        <f>P21+R21</f>
        <v>1674</v>
      </c>
      <c r="V21" s="322"/>
      <c r="W21" s="325" t="s">
        <v>709</v>
      </c>
      <c r="X21" s="326"/>
    </row>
    <row r="22" spans="1:24" ht="22.5" customHeight="1" x14ac:dyDescent="0.25">
      <c r="A22" s="14">
        <v>2</v>
      </c>
      <c r="B22" s="250">
        <v>44682</v>
      </c>
      <c r="C22" s="252"/>
      <c r="D22" s="251">
        <v>230</v>
      </c>
      <c r="E22" s="251"/>
      <c r="F22" s="252">
        <v>4</v>
      </c>
      <c r="G22" s="252"/>
      <c r="H22" s="251">
        <f t="shared" si="0"/>
        <v>1.84</v>
      </c>
      <c r="I22" s="251"/>
      <c r="J22" s="323">
        <f t="shared" ref="J22:J85" si="1">D22*F22+H22</f>
        <v>921.84</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228</v>
      </c>
      <c r="E23" s="238"/>
      <c r="F23" s="239">
        <v>3</v>
      </c>
      <c r="G23" s="239"/>
      <c r="H23" s="307">
        <f t="shared" si="0"/>
        <v>1.3680000000000001</v>
      </c>
      <c r="I23" s="308"/>
      <c r="J23" s="309">
        <f t="shared" si="1"/>
        <v>685.36800000000005</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226.7</v>
      </c>
      <c r="E24" s="251"/>
      <c r="F24" s="252">
        <v>2</v>
      </c>
      <c r="G24" s="252"/>
      <c r="H24" s="251">
        <f t="shared" si="0"/>
        <v>0.90679999999999994</v>
      </c>
      <c r="I24" s="251"/>
      <c r="J24" s="323">
        <f t="shared" si="1"/>
        <v>454.30679999999995</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252</v>
      </c>
      <c r="E25" s="238"/>
      <c r="F25" s="239">
        <v>3</v>
      </c>
      <c r="G25" s="239"/>
      <c r="H25" s="307">
        <f t="shared" si="0"/>
        <v>1.512</v>
      </c>
      <c r="I25" s="308"/>
      <c r="J25" s="309">
        <f t="shared" si="1"/>
        <v>757.51199999999994</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245.3</v>
      </c>
      <c r="E26" s="251"/>
      <c r="F26" s="252">
        <v>9</v>
      </c>
      <c r="G26" s="252"/>
      <c r="H26" s="251">
        <f t="shared" si="0"/>
        <v>4.4154000000000009</v>
      </c>
      <c r="I26" s="251"/>
      <c r="J26" s="323">
        <f t="shared" si="1"/>
        <v>2212.1154000000001</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353</v>
      </c>
      <c r="E27" s="238"/>
      <c r="F27" s="239">
        <v>3</v>
      </c>
      <c r="G27" s="239"/>
      <c r="H27" s="307">
        <f t="shared" si="0"/>
        <v>2.1179999999999999</v>
      </c>
      <c r="I27" s="308"/>
      <c r="J27" s="309">
        <f t="shared" si="1"/>
        <v>1061.1179999999999</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433</v>
      </c>
      <c r="E28" s="251"/>
      <c r="F28" s="252">
        <v>4</v>
      </c>
      <c r="G28" s="252"/>
      <c r="H28" s="251">
        <f t="shared" si="0"/>
        <v>3.464</v>
      </c>
      <c r="I28" s="251"/>
      <c r="J28" s="323">
        <f t="shared" si="1"/>
        <v>1735.4639999999999</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555.1</v>
      </c>
      <c r="E29" s="238"/>
      <c r="F29" s="239">
        <v>1</v>
      </c>
      <c r="G29" s="239"/>
      <c r="H29" s="307">
        <f t="shared" si="0"/>
        <v>1.1102000000000001</v>
      </c>
      <c r="I29" s="308"/>
      <c r="J29" s="309">
        <f t="shared" si="1"/>
        <v>556.21019999999999</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542.04</v>
      </c>
      <c r="E30" s="251"/>
      <c r="F30" s="252">
        <v>9</v>
      </c>
      <c r="G30" s="252"/>
      <c r="H30" s="251">
        <f t="shared" si="0"/>
        <v>9.7567199999999996</v>
      </c>
      <c r="I30" s="251"/>
      <c r="J30" s="323">
        <f t="shared" si="1"/>
        <v>4888.11672</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44972</v>
      </c>
      <c r="C31" s="239"/>
      <c r="D31" s="238">
        <v>553.79999999999995</v>
      </c>
      <c r="E31" s="238"/>
      <c r="F31" s="239">
        <v>3</v>
      </c>
      <c r="G31" s="239"/>
      <c r="H31" s="238">
        <f t="shared" ref="H31" si="3">(D31*F31)*(2/1000)</f>
        <v>3.3228</v>
      </c>
      <c r="I31" s="238"/>
      <c r="J31" s="309">
        <f t="shared" si="1"/>
        <v>1664.7227999999998</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50">
        <v>44995</v>
      </c>
      <c r="C32" s="252"/>
      <c r="D32" s="251">
        <v>558</v>
      </c>
      <c r="E32" s="251"/>
      <c r="F32" s="252">
        <v>3</v>
      </c>
      <c r="G32" s="252"/>
      <c r="H32" s="251">
        <f t="shared" ref="H32" si="4">(D32*F32)*(2/1000)</f>
        <v>3.3479999999999999</v>
      </c>
      <c r="I32" s="251"/>
      <c r="J32" s="323">
        <f t="shared" si="1"/>
        <v>1677.348</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5">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38"/>
      <c r="I87" s="238"/>
      <c r="J87" s="309">
        <f t="shared" si="5"/>
        <v>0</v>
      </c>
      <c r="K87" s="309"/>
      <c r="L87" s="343"/>
      <c r="M87" s="22">
        <v>67</v>
      </c>
      <c r="N87" s="239"/>
      <c r="O87" s="239"/>
      <c r="P87" s="238"/>
      <c r="Q87" s="238"/>
      <c r="R87" s="239"/>
      <c r="S87" s="239"/>
      <c r="T87" s="23"/>
      <c r="U87" s="256">
        <f t="shared" ref="U87:U150" si="6">P87+R87</f>
        <v>0</v>
      </c>
      <c r="V87" s="257"/>
      <c r="W87"/>
      <c r="X87"/>
    </row>
    <row r="88" spans="1:24" ht="22.5" customHeight="1" x14ac:dyDescent="0.25">
      <c r="A88" s="14">
        <v>68</v>
      </c>
      <c r="B88" s="252"/>
      <c r="C88" s="252"/>
      <c r="D88" s="251"/>
      <c r="E88" s="251"/>
      <c r="F88" s="252"/>
      <c r="G88" s="252"/>
      <c r="H88" s="251"/>
      <c r="I88" s="251"/>
      <c r="J88" s="323">
        <f t="shared" si="5"/>
        <v>0</v>
      </c>
      <c r="K88" s="324"/>
      <c r="L88" s="343"/>
      <c r="M88" s="15">
        <v>68</v>
      </c>
      <c r="N88" s="260"/>
      <c r="O88" s="260"/>
      <c r="P88" s="259"/>
      <c r="Q88" s="259"/>
      <c r="R88" s="260"/>
      <c r="S88" s="260"/>
      <c r="T88" s="24"/>
      <c r="U88" s="340">
        <f t="shared" si="6"/>
        <v>0</v>
      </c>
      <c r="V88" s="341"/>
      <c r="W88"/>
      <c r="X88"/>
    </row>
    <row r="89" spans="1:24" ht="22.5" customHeight="1" x14ac:dyDescent="0.25">
      <c r="A89" s="22">
        <v>69</v>
      </c>
      <c r="B89" s="239"/>
      <c r="C89" s="239"/>
      <c r="D89" s="238"/>
      <c r="E89" s="238"/>
      <c r="F89" s="239"/>
      <c r="G89" s="239"/>
      <c r="H89" s="238"/>
      <c r="I89" s="238"/>
      <c r="J89" s="309">
        <f t="shared" si="5"/>
        <v>0</v>
      </c>
      <c r="K89" s="309"/>
      <c r="L89" s="343"/>
      <c r="M89" s="22">
        <v>69</v>
      </c>
      <c r="N89" s="239"/>
      <c r="O89" s="239"/>
      <c r="P89" s="238"/>
      <c r="Q89" s="238"/>
      <c r="R89" s="239"/>
      <c r="S89" s="239"/>
      <c r="T89" s="23"/>
      <c r="U89" s="256">
        <f t="shared" si="6"/>
        <v>0</v>
      </c>
      <c r="V89" s="257"/>
      <c r="W89"/>
      <c r="X89"/>
    </row>
    <row r="90" spans="1:24" ht="22.5" customHeight="1" x14ac:dyDescent="0.25">
      <c r="A90" s="14">
        <v>70</v>
      </c>
      <c r="B90" s="252"/>
      <c r="C90" s="252"/>
      <c r="D90" s="251"/>
      <c r="E90" s="251"/>
      <c r="F90" s="252"/>
      <c r="G90" s="252"/>
      <c r="H90" s="251"/>
      <c r="I90" s="251"/>
      <c r="J90" s="323">
        <f t="shared" si="5"/>
        <v>0</v>
      </c>
      <c r="K90" s="324"/>
      <c r="L90" s="343"/>
      <c r="M90" s="15">
        <v>70</v>
      </c>
      <c r="N90" s="260"/>
      <c r="O90" s="260"/>
      <c r="P90" s="259"/>
      <c r="Q90" s="259"/>
      <c r="R90" s="260"/>
      <c r="S90" s="260"/>
      <c r="T90" s="24"/>
      <c r="U90" s="340">
        <f t="shared" si="6"/>
        <v>0</v>
      </c>
      <c r="V90" s="341"/>
      <c r="W90"/>
      <c r="X90"/>
    </row>
    <row r="91" spans="1:24" ht="22.5" customHeight="1" x14ac:dyDescent="0.25">
      <c r="A91" s="22">
        <v>71</v>
      </c>
      <c r="B91" s="239"/>
      <c r="C91" s="239"/>
      <c r="D91" s="238"/>
      <c r="E91" s="238"/>
      <c r="F91" s="239"/>
      <c r="G91" s="239"/>
      <c r="H91" s="238"/>
      <c r="I91" s="238"/>
      <c r="J91" s="309">
        <f t="shared" si="5"/>
        <v>0</v>
      </c>
      <c r="K91" s="309"/>
      <c r="L91" s="343"/>
      <c r="M91" s="22">
        <v>71</v>
      </c>
      <c r="N91" s="239"/>
      <c r="O91" s="239"/>
      <c r="P91" s="238"/>
      <c r="Q91" s="238"/>
      <c r="R91" s="239"/>
      <c r="S91" s="239"/>
      <c r="T91" s="23"/>
      <c r="U91" s="256">
        <f t="shared" si="6"/>
        <v>0</v>
      </c>
      <c r="V91" s="257"/>
      <c r="W91"/>
      <c r="X91"/>
    </row>
    <row r="92" spans="1:24" ht="22.5" customHeight="1" x14ac:dyDescent="0.25">
      <c r="A92" s="14">
        <v>72</v>
      </c>
      <c r="B92" s="252"/>
      <c r="C92" s="252"/>
      <c r="D92" s="251"/>
      <c r="E92" s="251"/>
      <c r="F92" s="252"/>
      <c r="G92" s="252"/>
      <c r="H92" s="251"/>
      <c r="I92" s="251"/>
      <c r="J92" s="323">
        <f t="shared" si="5"/>
        <v>0</v>
      </c>
      <c r="K92" s="324"/>
      <c r="L92" s="343"/>
      <c r="M92" s="15">
        <v>72</v>
      </c>
      <c r="N92" s="260"/>
      <c r="O92" s="260"/>
      <c r="P92" s="259"/>
      <c r="Q92" s="259"/>
      <c r="R92" s="260"/>
      <c r="S92" s="260"/>
      <c r="T92" s="24"/>
      <c r="U92" s="340">
        <f t="shared" si="6"/>
        <v>0</v>
      </c>
      <c r="V92" s="341"/>
      <c r="W92"/>
      <c r="X92"/>
    </row>
    <row r="93" spans="1:24" ht="22.5" customHeight="1" x14ac:dyDescent="0.25">
      <c r="A93" s="22">
        <v>73</v>
      </c>
      <c r="B93" s="239"/>
      <c r="C93" s="239"/>
      <c r="D93" s="238"/>
      <c r="E93" s="238"/>
      <c r="F93" s="239"/>
      <c r="G93" s="239"/>
      <c r="H93" s="238"/>
      <c r="I93" s="238"/>
      <c r="J93" s="309">
        <f t="shared" si="5"/>
        <v>0</v>
      </c>
      <c r="K93" s="309"/>
      <c r="L93" s="343"/>
      <c r="M93" s="22">
        <v>73</v>
      </c>
      <c r="N93" s="239"/>
      <c r="O93" s="239"/>
      <c r="P93" s="238"/>
      <c r="Q93" s="238"/>
      <c r="R93" s="239"/>
      <c r="S93" s="239"/>
      <c r="T93" s="23"/>
      <c r="U93" s="256">
        <f t="shared" si="6"/>
        <v>0</v>
      </c>
      <c r="V93" s="257"/>
      <c r="W93"/>
      <c r="X93"/>
    </row>
    <row r="94" spans="1:24" ht="22.5" customHeight="1" x14ac:dyDescent="0.25">
      <c r="A94" s="14">
        <v>74</v>
      </c>
      <c r="B94" s="252"/>
      <c r="C94" s="252"/>
      <c r="D94" s="251"/>
      <c r="E94" s="251"/>
      <c r="F94" s="252"/>
      <c r="G94" s="252"/>
      <c r="H94" s="251"/>
      <c r="I94" s="251"/>
      <c r="J94" s="323">
        <f t="shared" si="5"/>
        <v>0</v>
      </c>
      <c r="K94" s="324"/>
      <c r="L94" s="343"/>
      <c r="M94" s="15">
        <v>74</v>
      </c>
      <c r="N94" s="260"/>
      <c r="O94" s="260"/>
      <c r="P94" s="259"/>
      <c r="Q94" s="259"/>
      <c r="R94" s="260"/>
      <c r="S94" s="260"/>
      <c r="T94" s="24"/>
      <c r="U94" s="340">
        <f t="shared" si="6"/>
        <v>0</v>
      </c>
      <c r="V94" s="341"/>
      <c r="W94"/>
      <c r="X94"/>
    </row>
    <row r="95" spans="1:24" ht="22.5" customHeight="1" x14ac:dyDescent="0.25">
      <c r="A95" s="22">
        <v>75</v>
      </c>
      <c r="B95" s="239"/>
      <c r="C95" s="239"/>
      <c r="D95" s="238"/>
      <c r="E95" s="238"/>
      <c r="F95" s="239"/>
      <c r="G95" s="239"/>
      <c r="H95" s="238"/>
      <c r="I95" s="238"/>
      <c r="J95" s="309">
        <f t="shared" si="5"/>
        <v>0</v>
      </c>
      <c r="K95" s="309"/>
      <c r="L95" s="343"/>
      <c r="M95" s="22">
        <v>75</v>
      </c>
      <c r="N95" s="239"/>
      <c r="O95" s="239"/>
      <c r="P95" s="238"/>
      <c r="Q95" s="238"/>
      <c r="R95" s="239"/>
      <c r="S95" s="239"/>
      <c r="T95" s="23"/>
      <c r="U95" s="256">
        <f t="shared" si="6"/>
        <v>0</v>
      </c>
      <c r="V95" s="257"/>
      <c r="W95"/>
      <c r="X95"/>
    </row>
    <row r="96" spans="1:24" ht="22.5" customHeight="1" x14ac:dyDescent="0.25">
      <c r="A96" s="14">
        <v>76</v>
      </c>
      <c r="B96" s="252"/>
      <c r="C96" s="252"/>
      <c r="D96" s="251"/>
      <c r="E96" s="251"/>
      <c r="F96" s="252"/>
      <c r="G96" s="252"/>
      <c r="H96" s="251"/>
      <c r="I96" s="251"/>
      <c r="J96" s="323">
        <f t="shared" si="5"/>
        <v>0</v>
      </c>
      <c r="K96" s="324"/>
      <c r="L96" s="343"/>
      <c r="M96" s="15">
        <v>76</v>
      </c>
      <c r="N96" s="260"/>
      <c r="O96" s="260"/>
      <c r="P96" s="259"/>
      <c r="Q96" s="259"/>
      <c r="R96" s="260"/>
      <c r="S96" s="260"/>
      <c r="T96" s="24"/>
      <c r="U96" s="340">
        <f t="shared" si="6"/>
        <v>0</v>
      </c>
      <c r="V96" s="341"/>
      <c r="W96"/>
      <c r="X96"/>
    </row>
    <row r="97" spans="1:24" ht="22.5" customHeight="1" x14ac:dyDescent="0.25">
      <c r="A97" s="22">
        <v>77</v>
      </c>
      <c r="B97" s="239"/>
      <c r="C97" s="239"/>
      <c r="D97" s="238"/>
      <c r="E97" s="238"/>
      <c r="F97" s="239"/>
      <c r="G97" s="239"/>
      <c r="H97" s="238"/>
      <c r="I97" s="238"/>
      <c r="J97" s="309">
        <f t="shared" si="5"/>
        <v>0</v>
      </c>
      <c r="K97" s="309"/>
      <c r="L97" s="343"/>
      <c r="M97" s="22">
        <v>77</v>
      </c>
      <c r="N97" s="239"/>
      <c r="O97" s="239"/>
      <c r="P97" s="238"/>
      <c r="Q97" s="238"/>
      <c r="R97" s="239"/>
      <c r="S97" s="239"/>
      <c r="T97" s="23"/>
      <c r="U97" s="256">
        <f t="shared" si="6"/>
        <v>0</v>
      </c>
      <c r="V97" s="257"/>
      <c r="W97"/>
      <c r="X97"/>
    </row>
    <row r="98" spans="1:24" ht="22.5" customHeight="1" x14ac:dyDescent="0.25">
      <c r="A98" s="14">
        <v>78</v>
      </c>
      <c r="B98" s="252"/>
      <c r="C98" s="252"/>
      <c r="D98" s="251"/>
      <c r="E98" s="251"/>
      <c r="F98" s="252"/>
      <c r="G98" s="252"/>
      <c r="H98" s="251"/>
      <c r="I98" s="251"/>
      <c r="J98" s="323">
        <f t="shared" si="5"/>
        <v>0</v>
      </c>
      <c r="K98" s="324"/>
      <c r="L98" s="343"/>
      <c r="M98" s="15">
        <v>78</v>
      </c>
      <c r="N98" s="260"/>
      <c r="O98" s="260"/>
      <c r="P98" s="259"/>
      <c r="Q98" s="259"/>
      <c r="R98" s="260"/>
      <c r="S98" s="260"/>
      <c r="T98" s="24"/>
      <c r="U98" s="340">
        <f t="shared" si="6"/>
        <v>0</v>
      </c>
      <c r="V98" s="341"/>
      <c r="W98"/>
      <c r="X98"/>
    </row>
    <row r="99" spans="1:24" ht="22.5" customHeight="1" x14ac:dyDescent="0.25">
      <c r="A99" s="22">
        <v>79</v>
      </c>
      <c r="B99" s="239"/>
      <c r="C99" s="239"/>
      <c r="D99" s="238"/>
      <c r="E99" s="238"/>
      <c r="F99" s="239"/>
      <c r="G99" s="239"/>
      <c r="H99" s="238"/>
      <c r="I99" s="238"/>
      <c r="J99" s="309">
        <f t="shared" si="5"/>
        <v>0</v>
      </c>
      <c r="K99" s="309"/>
      <c r="L99" s="343"/>
      <c r="M99" s="22">
        <v>79</v>
      </c>
      <c r="N99" s="239"/>
      <c r="O99" s="239"/>
      <c r="P99" s="238"/>
      <c r="Q99" s="238"/>
      <c r="R99" s="239"/>
      <c r="S99" s="239"/>
      <c r="T99" s="23"/>
      <c r="U99" s="256">
        <f t="shared" si="6"/>
        <v>0</v>
      </c>
      <c r="V99" s="257"/>
      <c r="W99"/>
      <c r="X99"/>
    </row>
    <row r="100" spans="1:24" ht="22.5" customHeight="1" x14ac:dyDescent="0.25">
      <c r="A100" s="14">
        <v>80</v>
      </c>
      <c r="B100" s="252"/>
      <c r="C100" s="252"/>
      <c r="D100" s="251"/>
      <c r="E100" s="251"/>
      <c r="F100" s="252"/>
      <c r="G100" s="252"/>
      <c r="H100" s="251"/>
      <c r="I100" s="251"/>
      <c r="J100" s="323">
        <f t="shared" si="5"/>
        <v>0</v>
      </c>
      <c r="K100" s="324"/>
      <c r="L100" s="343"/>
      <c r="M100" s="15">
        <v>80</v>
      </c>
      <c r="N100" s="260"/>
      <c r="O100" s="260"/>
      <c r="P100" s="259"/>
      <c r="Q100" s="259"/>
      <c r="R100" s="260"/>
      <c r="S100" s="260"/>
      <c r="T100" s="24"/>
      <c r="U100" s="340">
        <f t="shared" si="6"/>
        <v>0</v>
      </c>
      <c r="V100" s="341"/>
      <c r="W100"/>
      <c r="X100"/>
    </row>
    <row r="101" spans="1:24" ht="22.5" customHeight="1" x14ac:dyDescent="0.25">
      <c r="A101" s="22">
        <v>81</v>
      </c>
      <c r="B101" s="239"/>
      <c r="C101" s="239"/>
      <c r="D101" s="238"/>
      <c r="E101" s="238"/>
      <c r="F101" s="239"/>
      <c r="G101" s="239"/>
      <c r="H101" s="238"/>
      <c r="I101" s="238"/>
      <c r="J101" s="309">
        <f t="shared" si="5"/>
        <v>0</v>
      </c>
      <c r="K101" s="309"/>
      <c r="L101" s="343"/>
      <c r="M101" s="22">
        <v>81</v>
      </c>
      <c r="N101" s="239"/>
      <c r="O101" s="239"/>
      <c r="P101" s="238"/>
      <c r="Q101" s="238"/>
      <c r="R101" s="239"/>
      <c r="S101" s="239"/>
      <c r="T101" s="23"/>
      <c r="U101" s="256">
        <f t="shared" si="6"/>
        <v>0</v>
      </c>
      <c r="V101" s="257"/>
      <c r="W101"/>
      <c r="X101"/>
    </row>
    <row r="102" spans="1:24" ht="22.5" customHeight="1" x14ac:dyDescent="0.25">
      <c r="A102" s="14">
        <v>82</v>
      </c>
      <c r="B102" s="252"/>
      <c r="C102" s="252"/>
      <c r="D102" s="251"/>
      <c r="E102" s="251"/>
      <c r="F102" s="252"/>
      <c r="G102" s="252"/>
      <c r="H102" s="251"/>
      <c r="I102" s="251"/>
      <c r="J102" s="323">
        <f t="shared" si="5"/>
        <v>0</v>
      </c>
      <c r="K102" s="324"/>
      <c r="L102" s="343"/>
      <c r="M102" s="15">
        <v>82</v>
      </c>
      <c r="N102" s="260"/>
      <c r="O102" s="260"/>
      <c r="P102" s="259"/>
      <c r="Q102" s="259"/>
      <c r="R102" s="260"/>
      <c r="S102" s="260"/>
      <c r="T102" s="24"/>
      <c r="U102" s="340">
        <f t="shared" si="6"/>
        <v>0</v>
      </c>
      <c r="V102" s="341"/>
      <c r="W102"/>
      <c r="X102"/>
    </row>
    <row r="103" spans="1:24" ht="22.5" customHeight="1" x14ac:dyDescent="0.25">
      <c r="A103" s="22">
        <v>83</v>
      </c>
      <c r="B103" s="239"/>
      <c r="C103" s="239"/>
      <c r="D103" s="238"/>
      <c r="E103" s="238"/>
      <c r="F103" s="239"/>
      <c r="G103" s="239"/>
      <c r="H103" s="238"/>
      <c r="I103" s="238"/>
      <c r="J103" s="309">
        <f t="shared" si="5"/>
        <v>0</v>
      </c>
      <c r="K103" s="309"/>
      <c r="L103" s="343"/>
      <c r="M103" s="22">
        <v>83</v>
      </c>
      <c r="N103" s="239"/>
      <c r="O103" s="239"/>
      <c r="P103" s="238"/>
      <c r="Q103" s="238"/>
      <c r="R103" s="239"/>
      <c r="S103" s="239"/>
      <c r="T103" s="23"/>
      <c r="U103" s="256">
        <f t="shared" si="6"/>
        <v>0</v>
      </c>
      <c r="V103" s="257"/>
      <c r="W103"/>
      <c r="X103"/>
    </row>
    <row r="104" spans="1:24" ht="22.5" customHeight="1" x14ac:dyDescent="0.25">
      <c r="A104" s="14">
        <v>84</v>
      </c>
      <c r="B104" s="252"/>
      <c r="C104" s="252"/>
      <c r="D104" s="251"/>
      <c r="E104" s="251"/>
      <c r="F104" s="252"/>
      <c r="G104" s="252"/>
      <c r="H104" s="251"/>
      <c r="I104" s="251"/>
      <c r="J104" s="323">
        <f t="shared" si="5"/>
        <v>0</v>
      </c>
      <c r="K104" s="324"/>
      <c r="L104" s="343"/>
      <c r="M104" s="15">
        <v>84</v>
      </c>
      <c r="N104" s="260"/>
      <c r="O104" s="260"/>
      <c r="P104" s="259"/>
      <c r="Q104" s="259"/>
      <c r="R104" s="260"/>
      <c r="S104" s="260"/>
      <c r="T104" s="24"/>
      <c r="U104" s="340">
        <f t="shared" si="6"/>
        <v>0</v>
      </c>
      <c r="V104" s="341"/>
      <c r="W104"/>
      <c r="X104"/>
    </row>
    <row r="105" spans="1:24" ht="22.5" customHeight="1" x14ac:dyDescent="0.25">
      <c r="A105" s="22">
        <v>85</v>
      </c>
      <c r="B105" s="239"/>
      <c r="C105" s="239"/>
      <c r="D105" s="238"/>
      <c r="E105" s="238"/>
      <c r="F105" s="239"/>
      <c r="G105" s="239"/>
      <c r="H105" s="238"/>
      <c r="I105" s="238"/>
      <c r="J105" s="309">
        <f t="shared" si="5"/>
        <v>0</v>
      </c>
      <c r="K105" s="309"/>
      <c r="L105" s="343"/>
      <c r="M105" s="22">
        <v>85</v>
      </c>
      <c r="N105" s="239"/>
      <c r="O105" s="239"/>
      <c r="P105" s="238"/>
      <c r="Q105" s="238"/>
      <c r="R105" s="239"/>
      <c r="S105" s="239"/>
      <c r="T105" s="23"/>
      <c r="U105" s="256">
        <f t="shared" si="6"/>
        <v>0</v>
      </c>
      <c r="V105" s="257"/>
      <c r="W105"/>
      <c r="X105"/>
    </row>
    <row r="106" spans="1:24" ht="22.5" customHeight="1" x14ac:dyDescent="0.25">
      <c r="A106" s="14">
        <v>86</v>
      </c>
      <c r="B106" s="252"/>
      <c r="C106" s="252"/>
      <c r="D106" s="251"/>
      <c r="E106" s="251"/>
      <c r="F106" s="252"/>
      <c r="G106" s="252"/>
      <c r="H106" s="251"/>
      <c r="I106" s="251"/>
      <c r="J106" s="323">
        <f t="shared" si="5"/>
        <v>0</v>
      </c>
      <c r="K106" s="324"/>
      <c r="L106" s="343"/>
      <c r="M106" s="15">
        <v>86</v>
      </c>
      <c r="N106" s="260"/>
      <c r="O106" s="260"/>
      <c r="P106" s="259"/>
      <c r="Q106" s="259"/>
      <c r="R106" s="260"/>
      <c r="S106" s="260"/>
      <c r="T106" s="24"/>
      <c r="U106" s="340">
        <f t="shared" si="6"/>
        <v>0</v>
      </c>
      <c r="V106" s="341"/>
      <c r="W106"/>
      <c r="X106"/>
    </row>
    <row r="107" spans="1:24" ht="22.5" customHeight="1" x14ac:dyDescent="0.25">
      <c r="A107" s="22">
        <v>87</v>
      </c>
      <c r="B107" s="239"/>
      <c r="C107" s="239"/>
      <c r="D107" s="238"/>
      <c r="E107" s="238"/>
      <c r="F107" s="239"/>
      <c r="G107" s="239"/>
      <c r="H107" s="238"/>
      <c r="I107" s="238"/>
      <c r="J107" s="309">
        <f t="shared" si="5"/>
        <v>0</v>
      </c>
      <c r="K107" s="309"/>
      <c r="L107" s="343"/>
      <c r="M107" s="22">
        <v>87</v>
      </c>
      <c r="N107" s="239"/>
      <c r="O107" s="239"/>
      <c r="P107" s="238"/>
      <c r="Q107" s="238"/>
      <c r="R107" s="239"/>
      <c r="S107" s="239"/>
      <c r="T107" s="23"/>
      <c r="U107" s="256">
        <f t="shared" si="6"/>
        <v>0</v>
      </c>
      <c r="V107" s="257"/>
      <c r="W107"/>
      <c r="X107"/>
    </row>
    <row r="108" spans="1:24" ht="22.5" customHeight="1" x14ac:dyDescent="0.25">
      <c r="A108" s="14">
        <v>88</v>
      </c>
      <c r="B108" s="252"/>
      <c r="C108" s="252"/>
      <c r="D108" s="251"/>
      <c r="E108" s="251"/>
      <c r="F108" s="252"/>
      <c r="G108" s="252"/>
      <c r="H108" s="251"/>
      <c r="I108" s="251"/>
      <c r="J108" s="323">
        <f t="shared" si="5"/>
        <v>0</v>
      </c>
      <c r="K108" s="324"/>
      <c r="L108" s="343"/>
      <c r="M108" s="15">
        <v>88</v>
      </c>
      <c r="N108" s="260"/>
      <c r="O108" s="260"/>
      <c r="P108" s="259"/>
      <c r="Q108" s="259"/>
      <c r="R108" s="260"/>
      <c r="S108" s="260"/>
      <c r="T108" s="24"/>
      <c r="U108" s="340">
        <f t="shared" si="6"/>
        <v>0</v>
      </c>
      <c r="V108" s="341"/>
      <c r="W108"/>
      <c r="X108"/>
    </row>
    <row r="109" spans="1:24" ht="22.5" customHeight="1" x14ac:dyDescent="0.25">
      <c r="A109" s="22">
        <v>89</v>
      </c>
      <c r="B109" s="239"/>
      <c r="C109" s="239"/>
      <c r="D109" s="238"/>
      <c r="E109" s="238"/>
      <c r="F109" s="239"/>
      <c r="G109" s="239"/>
      <c r="H109" s="238"/>
      <c r="I109" s="238"/>
      <c r="J109" s="309">
        <f t="shared" si="5"/>
        <v>0</v>
      </c>
      <c r="K109" s="309"/>
      <c r="L109" s="343"/>
      <c r="M109" s="22">
        <v>89</v>
      </c>
      <c r="N109" s="239"/>
      <c r="O109" s="239"/>
      <c r="P109" s="238"/>
      <c r="Q109" s="238"/>
      <c r="R109" s="239"/>
      <c r="S109" s="239"/>
      <c r="T109" s="23"/>
      <c r="U109" s="256">
        <f t="shared" si="6"/>
        <v>0</v>
      </c>
      <c r="V109" s="257"/>
      <c r="W109"/>
      <c r="X109"/>
    </row>
    <row r="110" spans="1:24" ht="22.5" customHeight="1" x14ac:dyDescent="0.25">
      <c r="A110" s="14">
        <v>90</v>
      </c>
      <c r="B110" s="252"/>
      <c r="C110" s="252"/>
      <c r="D110" s="251"/>
      <c r="E110" s="251"/>
      <c r="F110" s="252"/>
      <c r="G110" s="252"/>
      <c r="H110" s="251"/>
      <c r="I110" s="251"/>
      <c r="J110" s="323">
        <f t="shared" si="5"/>
        <v>0</v>
      </c>
      <c r="K110" s="324"/>
      <c r="L110" s="343"/>
      <c r="M110" s="15">
        <v>90</v>
      </c>
      <c r="N110" s="260"/>
      <c r="O110" s="260"/>
      <c r="P110" s="259"/>
      <c r="Q110" s="259"/>
      <c r="R110" s="260"/>
      <c r="S110" s="260"/>
      <c r="T110" s="24"/>
      <c r="U110" s="340">
        <f t="shared" si="6"/>
        <v>0</v>
      </c>
      <c r="V110" s="341"/>
      <c r="W110"/>
      <c r="X110"/>
    </row>
    <row r="111" spans="1:24" ht="22.5" customHeight="1" x14ac:dyDescent="0.25">
      <c r="A111" s="22">
        <v>91</v>
      </c>
      <c r="B111" s="239"/>
      <c r="C111" s="239"/>
      <c r="D111" s="238"/>
      <c r="E111" s="238"/>
      <c r="F111" s="239"/>
      <c r="G111" s="239"/>
      <c r="H111" s="238"/>
      <c r="I111" s="238"/>
      <c r="J111" s="309">
        <f t="shared" si="5"/>
        <v>0</v>
      </c>
      <c r="K111" s="309"/>
      <c r="L111" s="343"/>
      <c r="M111" s="22">
        <v>91</v>
      </c>
      <c r="N111" s="239"/>
      <c r="O111" s="239"/>
      <c r="P111" s="238"/>
      <c r="Q111" s="238"/>
      <c r="R111" s="239"/>
      <c r="S111" s="239"/>
      <c r="T111" s="23"/>
      <c r="U111" s="256">
        <f t="shared" si="6"/>
        <v>0</v>
      </c>
      <c r="V111" s="257"/>
      <c r="W111"/>
      <c r="X111"/>
    </row>
    <row r="112" spans="1:24" ht="22.5" customHeight="1" x14ac:dyDescent="0.25">
      <c r="A112" s="14">
        <v>92</v>
      </c>
      <c r="B112" s="252"/>
      <c r="C112" s="252"/>
      <c r="D112" s="251"/>
      <c r="E112" s="251"/>
      <c r="F112" s="252"/>
      <c r="G112" s="252"/>
      <c r="H112" s="251"/>
      <c r="I112" s="251"/>
      <c r="J112" s="323">
        <f t="shared" si="5"/>
        <v>0</v>
      </c>
      <c r="K112" s="324"/>
      <c r="L112" s="343"/>
      <c r="M112" s="15">
        <v>92</v>
      </c>
      <c r="N112" s="260"/>
      <c r="O112" s="260"/>
      <c r="P112" s="259"/>
      <c r="Q112" s="259"/>
      <c r="R112" s="260"/>
      <c r="S112" s="260"/>
      <c r="T112" s="24"/>
      <c r="U112" s="340">
        <f t="shared" si="6"/>
        <v>0</v>
      </c>
      <c r="V112" s="341"/>
      <c r="W112"/>
      <c r="X112"/>
    </row>
    <row r="113" spans="1:24" ht="22.5" customHeight="1" x14ac:dyDescent="0.25">
      <c r="A113" s="22">
        <v>93</v>
      </c>
      <c r="B113" s="239"/>
      <c r="C113" s="239"/>
      <c r="D113" s="238"/>
      <c r="E113" s="238"/>
      <c r="F113" s="239"/>
      <c r="G113" s="239"/>
      <c r="H113" s="238"/>
      <c r="I113" s="238"/>
      <c r="J113" s="309">
        <f t="shared" si="5"/>
        <v>0</v>
      </c>
      <c r="K113" s="309"/>
      <c r="L113" s="343"/>
      <c r="M113" s="22">
        <v>93</v>
      </c>
      <c r="N113" s="239"/>
      <c r="O113" s="239"/>
      <c r="P113" s="238"/>
      <c r="Q113" s="238"/>
      <c r="R113" s="239"/>
      <c r="S113" s="239"/>
      <c r="T113" s="23"/>
      <c r="U113" s="256">
        <f t="shared" si="6"/>
        <v>0</v>
      </c>
      <c r="V113" s="257"/>
      <c r="W113"/>
      <c r="X113"/>
    </row>
    <row r="114" spans="1:24" ht="22.5" customHeight="1" x14ac:dyDescent="0.25">
      <c r="A114" s="14">
        <v>94</v>
      </c>
      <c r="B114" s="252"/>
      <c r="C114" s="252"/>
      <c r="D114" s="251"/>
      <c r="E114" s="251"/>
      <c r="F114" s="252"/>
      <c r="G114" s="252"/>
      <c r="H114" s="251"/>
      <c r="I114" s="251"/>
      <c r="J114" s="323">
        <f t="shared" si="5"/>
        <v>0</v>
      </c>
      <c r="K114" s="324"/>
      <c r="L114" s="343"/>
      <c r="M114" s="15">
        <v>94</v>
      </c>
      <c r="N114" s="260"/>
      <c r="O114" s="260"/>
      <c r="P114" s="259"/>
      <c r="Q114" s="259"/>
      <c r="R114" s="260"/>
      <c r="S114" s="260"/>
      <c r="T114" s="24"/>
      <c r="U114" s="340">
        <f t="shared" si="6"/>
        <v>0</v>
      </c>
      <c r="V114" s="341"/>
      <c r="W114"/>
      <c r="X114"/>
    </row>
    <row r="115" spans="1:24" ht="22.5" customHeight="1" x14ac:dyDescent="0.25">
      <c r="A115" s="22">
        <v>95</v>
      </c>
      <c r="B115" s="239"/>
      <c r="C115" s="239"/>
      <c r="D115" s="238"/>
      <c r="E115" s="238"/>
      <c r="F115" s="239"/>
      <c r="G115" s="239"/>
      <c r="H115" s="238"/>
      <c r="I115" s="238"/>
      <c r="J115" s="309">
        <f t="shared" si="5"/>
        <v>0</v>
      </c>
      <c r="K115" s="309"/>
      <c r="L115" s="343"/>
      <c r="M115" s="22">
        <v>95</v>
      </c>
      <c r="N115" s="239"/>
      <c r="O115" s="239"/>
      <c r="P115" s="238"/>
      <c r="Q115" s="238"/>
      <c r="R115" s="239"/>
      <c r="S115" s="239"/>
      <c r="T115" s="23"/>
      <c r="U115" s="256">
        <f t="shared" si="6"/>
        <v>0</v>
      </c>
      <c r="V115" s="257"/>
      <c r="W115"/>
      <c r="X115"/>
    </row>
    <row r="116" spans="1:24" ht="22.5" customHeight="1" x14ac:dyDescent="0.25">
      <c r="A116" s="14">
        <v>96</v>
      </c>
      <c r="B116" s="252"/>
      <c r="C116" s="252"/>
      <c r="D116" s="251"/>
      <c r="E116" s="251"/>
      <c r="F116" s="252"/>
      <c r="G116" s="252"/>
      <c r="H116" s="251"/>
      <c r="I116" s="251"/>
      <c r="J116" s="323">
        <f t="shared" si="5"/>
        <v>0</v>
      </c>
      <c r="K116" s="324"/>
      <c r="L116" s="343"/>
      <c r="M116" s="15">
        <v>96</v>
      </c>
      <c r="N116" s="260"/>
      <c r="O116" s="260"/>
      <c r="P116" s="259"/>
      <c r="Q116" s="259"/>
      <c r="R116" s="260"/>
      <c r="S116" s="260"/>
      <c r="T116" s="24"/>
      <c r="U116" s="340">
        <f t="shared" si="6"/>
        <v>0</v>
      </c>
      <c r="V116" s="341"/>
      <c r="W116"/>
      <c r="X116"/>
    </row>
    <row r="117" spans="1:24" ht="22.5" customHeight="1" x14ac:dyDescent="0.25">
      <c r="A117" s="22">
        <v>97</v>
      </c>
      <c r="B117" s="239"/>
      <c r="C117" s="239"/>
      <c r="D117" s="238"/>
      <c r="E117" s="238"/>
      <c r="F117" s="239"/>
      <c r="G117" s="239"/>
      <c r="H117" s="238"/>
      <c r="I117" s="238"/>
      <c r="J117" s="309">
        <f t="shared" si="5"/>
        <v>0</v>
      </c>
      <c r="K117" s="309"/>
      <c r="L117" s="343"/>
      <c r="M117" s="22">
        <v>97</v>
      </c>
      <c r="N117" s="239"/>
      <c r="O117" s="239"/>
      <c r="P117" s="238"/>
      <c r="Q117" s="238"/>
      <c r="R117" s="239"/>
      <c r="S117" s="239"/>
      <c r="T117" s="23"/>
      <c r="U117" s="256">
        <f t="shared" si="6"/>
        <v>0</v>
      </c>
      <c r="V117" s="257"/>
      <c r="W117"/>
      <c r="X117"/>
    </row>
    <row r="118" spans="1:24" ht="22.5" customHeight="1" x14ac:dyDescent="0.25">
      <c r="A118" s="14">
        <v>98</v>
      </c>
      <c r="B118" s="252"/>
      <c r="C118" s="252"/>
      <c r="D118" s="251"/>
      <c r="E118" s="251"/>
      <c r="F118" s="252"/>
      <c r="G118" s="252"/>
      <c r="H118" s="251"/>
      <c r="I118" s="251"/>
      <c r="J118" s="323">
        <f t="shared" si="5"/>
        <v>0</v>
      </c>
      <c r="K118" s="324"/>
      <c r="L118" s="343"/>
      <c r="M118" s="15">
        <v>98</v>
      </c>
      <c r="N118" s="260"/>
      <c r="O118" s="260"/>
      <c r="P118" s="259"/>
      <c r="Q118" s="259"/>
      <c r="R118" s="260"/>
      <c r="S118" s="260"/>
      <c r="T118" s="24"/>
      <c r="U118" s="340">
        <f t="shared" si="6"/>
        <v>0</v>
      </c>
      <c r="V118" s="341"/>
      <c r="W118"/>
      <c r="X118"/>
    </row>
    <row r="119" spans="1:24" ht="22.5" customHeight="1" x14ac:dyDescent="0.25">
      <c r="A119" s="22">
        <v>99</v>
      </c>
      <c r="B119" s="239"/>
      <c r="C119" s="239"/>
      <c r="D119" s="238"/>
      <c r="E119" s="238"/>
      <c r="F119" s="239"/>
      <c r="G119" s="239"/>
      <c r="H119" s="238"/>
      <c r="I119" s="238"/>
      <c r="J119" s="309">
        <f t="shared" si="5"/>
        <v>0</v>
      </c>
      <c r="K119" s="309"/>
      <c r="L119" s="343"/>
      <c r="M119" s="22">
        <v>99</v>
      </c>
      <c r="N119" s="239"/>
      <c r="O119" s="239"/>
      <c r="P119" s="238"/>
      <c r="Q119" s="238"/>
      <c r="R119" s="239"/>
      <c r="S119" s="239"/>
      <c r="T119" s="23"/>
      <c r="U119" s="256">
        <f t="shared" si="6"/>
        <v>0</v>
      </c>
      <c r="V119" s="257"/>
      <c r="W119"/>
      <c r="X119"/>
    </row>
    <row r="120" spans="1:24" ht="22.5" customHeight="1" x14ac:dyDescent="0.25">
      <c r="A120" s="14">
        <v>100</v>
      </c>
      <c r="B120" s="252"/>
      <c r="C120" s="252"/>
      <c r="D120" s="251"/>
      <c r="E120" s="251"/>
      <c r="F120" s="252"/>
      <c r="G120" s="252"/>
      <c r="H120" s="251"/>
      <c r="I120" s="251"/>
      <c r="J120" s="323">
        <f t="shared" si="5"/>
        <v>0</v>
      </c>
      <c r="K120" s="324"/>
      <c r="L120" s="343"/>
      <c r="M120" s="15">
        <v>100</v>
      </c>
      <c r="N120" s="260"/>
      <c r="O120" s="260"/>
      <c r="P120" s="259"/>
      <c r="Q120" s="259"/>
      <c r="R120" s="260"/>
      <c r="S120" s="260"/>
      <c r="T120" s="24"/>
      <c r="U120" s="340">
        <f t="shared" si="6"/>
        <v>0</v>
      </c>
      <c r="V120" s="341"/>
      <c r="W120"/>
      <c r="X120"/>
    </row>
    <row r="121" spans="1:24" ht="22.5" customHeight="1" x14ac:dyDescent="0.25">
      <c r="A121" s="22">
        <v>101</v>
      </c>
      <c r="B121" s="239"/>
      <c r="C121" s="239"/>
      <c r="D121" s="238"/>
      <c r="E121" s="238"/>
      <c r="F121" s="239"/>
      <c r="G121" s="239"/>
      <c r="H121" s="238"/>
      <c r="I121" s="238"/>
      <c r="J121" s="309">
        <f t="shared" si="5"/>
        <v>0</v>
      </c>
      <c r="K121" s="309"/>
      <c r="L121" s="343"/>
      <c r="M121" s="22">
        <v>101</v>
      </c>
      <c r="N121" s="239"/>
      <c r="O121" s="239"/>
      <c r="P121" s="238"/>
      <c r="Q121" s="238"/>
      <c r="R121" s="239"/>
      <c r="S121" s="239"/>
      <c r="T121" s="23"/>
      <c r="U121" s="256">
        <f t="shared" si="6"/>
        <v>0</v>
      </c>
      <c r="V121" s="257"/>
      <c r="W121"/>
      <c r="X121"/>
    </row>
    <row r="122" spans="1:24" ht="22.5" customHeight="1" x14ac:dyDescent="0.25">
      <c r="A122" s="14">
        <v>102</v>
      </c>
      <c r="B122" s="252"/>
      <c r="C122" s="252"/>
      <c r="D122" s="251"/>
      <c r="E122" s="251"/>
      <c r="F122" s="252"/>
      <c r="G122" s="252"/>
      <c r="H122" s="251"/>
      <c r="I122" s="251"/>
      <c r="J122" s="323">
        <f t="shared" si="5"/>
        <v>0</v>
      </c>
      <c r="K122" s="324"/>
      <c r="L122" s="343"/>
      <c r="M122" s="15">
        <v>102</v>
      </c>
      <c r="N122" s="260"/>
      <c r="O122" s="260"/>
      <c r="P122" s="259"/>
      <c r="Q122" s="259"/>
      <c r="R122" s="260"/>
      <c r="S122" s="260"/>
      <c r="T122" s="24"/>
      <c r="U122" s="340">
        <f t="shared" si="6"/>
        <v>0</v>
      </c>
      <c r="V122" s="341"/>
      <c r="W122"/>
      <c r="X122"/>
    </row>
    <row r="123" spans="1:24" ht="22.5" customHeight="1" x14ac:dyDescent="0.25">
      <c r="A123" s="22">
        <v>103</v>
      </c>
      <c r="B123" s="239"/>
      <c r="C123" s="239"/>
      <c r="D123" s="238"/>
      <c r="E123" s="238"/>
      <c r="F123" s="239"/>
      <c r="G123" s="239"/>
      <c r="H123" s="238"/>
      <c r="I123" s="238"/>
      <c r="J123" s="309">
        <f t="shared" si="5"/>
        <v>0</v>
      </c>
      <c r="K123" s="309"/>
      <c r="L123" s="343"/>
      <c r="M123" s="22">
        <v>103</v>
      </c>
      <c r="N123" s="239"/>
      <c r="O123" s="239"/>
      <c r="P123" s="238"/>
      <c r="Q123" s="238"/>
      <c r="R123" s="239"/>
      <c r="S123" s="239"/>
      <c r="T123" s="23"/>
      <c r="U123" s="256">
        <f t="shared" si="6"/>
        <v>0</v>
      </c>
      <c r="V123" s="257"/>
      <c r="W123"/>
      <c r="X123"/>
    </row>
    <row r="124" spans="1:24" ht="22.5" customHeight="1" x14ac:dyDescent="0.25">
      <c r="A124" s="14">
        <v>104</v>
      </c>
      <c r="B124" s="252"/>
      <c r="C124" s="252"/>
      <c r="D124" s="251"/>
      <c r="E124" s="251"/>
      <c r="F124" s="252"/>
      <c r="G124" s="252"/>
      <c r="H124" s="251"/>
      <c r="I124" s="251"/>
      <c r="J124" s="323">
        <f t="shared" si="5"/>
        <v>0</v>
      </c>
      <c r="K124" s="324"/>
      <c r="L124" s="343"/>
      <c r="M124" s="15">
        <v>104</v>
      </c>
      <c r="N124" s="260"/>
      <c r="O124" s="260"/>
      <c r="P124" s="259"/>
      <c r="Q124" s="259"/>
      <c r="R124" s="260"/>
      <c r="S124" s="260"/>
      <c r="T124" s="24"/>
      <c r="U124" s="340">
        <f t="shared" si="6"/>
        <v>0</v>
      </c>
      <c r="V124" s="341"/>
      <c r="W124"/>
      <c r="X124"/>
    </row>
    <row r="125" spans="1:24" ht="22.5" customHeight="1" x14ac:dyDescent="0.25">
      <c r="A125" s="22">
        <v>105</v>
      </c>
      <c r="B125" s="239"/>
      <c r="C125" s="239"/>
      <c r="D125" s="238"/>
      <c r="E125" s="238"/>
      <c r="F125" s="239"/>
      <c r="G125" s="239"/>
      <c r="H125" s="238"/>
      <c r="I125" s="238"/>
      <c r="J125" s="309">
        <f t="shared" si="5"/>
        <v>0</v>
      </c>
      <c r="K125" s="309"/>
      <c r="L125" s="343"/>
      <c r="M125" s="22">
        <v>105</v>
      </c>
      <c r="N125" s="239"/>
      <c r="O125" s="239"/>
      <c r="P125" s="238"/>
      <c r="Q125" s="238"/>
      <c r="R125" s="239"/>
      <c r="S125" s="239"/>
      <c r="T125" s="23"/>
      <c r="U125" s="256">
        <f t="shared" si="6"/>
        <v>0</v>
      </c>
      <c r="V125" s="257"/>
      <c r="W125"/>
      <c r="X125"/>
    </row>
    <row r="126" spans="1:24" ht="22.5" customHeight="1" x14ac:dyDescent="0.25">
      <c r="A126" s="14">
        <v>106</v>
      </c>
      <c r="B126" s="252"/>
      <c r="C126" s="252"/>
      <c r="D126" s="251"/>
      <c r="E126" s="251"/>
      <c r="F126" s="252"/>
      <c r="G126" s="252"/>
      <c r="H126" s="251"/>
      <c r="I126" s="251"/>
      <c r="J126" s="323">
        <f t="shared" si="5"/>
        <v>0</v>
      </c>
      <c r="K126" s="324"/>
      <c r="L126" s="343"/>
      <c r="M126" s="15">
        <v>106</v>
      </c>
      <c r="N126" s="260"/>
      <c r="O126" s="260"/>
      <c r="P126" s="259"/>
      <c r="Q126" s="259"/>
      <c r="R126" s="260"/>
      <c r="S126" s="260"/>
      <c r="T126" s="24"/>
      <c r="U126" s="340">
        <f t="shared" si="6"/>
        <v>0</v>
      </c>
      <c r="V126" s="341"/>
      <c r="W126"/>
      <c r="X126"/>
    </row>
    <row r="127" spans="1:24" ht="22.5" customHeight="1" x14ac:dyDescent="0.25">
      <c r="A127" s="22">
        <v>107</v>
      </c>
      <c r="B127" s="239"/>
      <c r="C127" s="239"/>
      <c r="D127" s="238"/>
      <c r="E127" s="238"/>
      <c r="F127" s="239"/>
      <c r="G127" s="239"/>
      <c r="H127" s="238"/>
      <c r="I127" s="238"/>
      <c r="J127" s="309">
        <f t="shared" si="5"/>
        <v>0</v>
      </c>
      <c r="K127" s="309"/>
      <c r="L127" s="343"/>
      <c r="M127" s="22">
        <v>107</v>
      </c>
      <c r="N127" s="239"/>
      <c r="O127" s="239"/>
      <c r="P127" s="238"/>
      <c r="Q127" s="238"/>
      <c r="R127" s="239"/>
      <c r="S127" s="239"/>
      <c r="T127" s="23"/>
      <c r="U127" s="256">
        <f t="shared" si="6"/>
        <v>0</v>
      </c>
      <c r="V127" s="257"/>
      <c r="W127"/>
      <c r="X127"/>
    </row>
    <row r="128" spans="1:24" ht="22.5" customHeight="1" x14ac:dyDescent="0.25">
      <c r="A128" s="14">
        <v>108</v>
      </c>
      <c r="B128" s="252"/>
      <c r="C128" s="252"/>
      <c r="D128" s="251"/>
      <c r="E128" s="251"/>
      <c r="F128" s="252"/>
      <c r="G128" s="252"/>
      <c r="H128" s="251"/>
      <c r="I128" s="251"/>
      <c r="J128" s="323">
        <f t="shared" si="5"/>
        <v>0</v>
      </c>
      <c r="K128" s="324"/>
      <c r="L128" s="343"/>
      <c r="M128" s="15">
        <v>108</v>
      </c>
      <c r="N128" s="260"/>
      <c r="O128" s="260"/>
      <c r="P128" s="259"/>
      <c r="Q128" s="259"/>
      <c r="R128" s="260"/>
      <c r="S128" s="260"/>
      <c r="T128" s="24"/>
      <c r="U128" s="340">
        <f t="shared" si="6"/>
        <v>0</v>
      </c>
      <c r="V128" s="341"/>
      <c r="W128"/>
      <c r="X128"/>
    </row>
    <row r="129" spans="1:24" ht="22.5" customHeight="1" x14ac:dyDescent="0.25">
      <c r="A129" s="22">
        <v>109</v>
      </c>
      <c r="B129" s="239"/>
      <c r="C129" s="239"/>
      <c r="D129" s="238"/>
      <c r="E129" s="238"/>
      <c r="F129" s="239"/>
      <c r="G129" s="239"/>
      <c r="H129" s="238"/>
      <c r="I129" s="238"/>
      <c r="J129" s="309">
        <f t="shared" si="5"/>
        <v>0</v>
      </c>
      <c r="K129" s="309"/>
      <c r="L129" s="343"/>
      <c r="M129" s="22">
        <v>109</v>
      </c>
      <c r="N129" s="239"/>
      <c r="O129" s="239"/>
      <c r="P129" s="238"/>
      <c r="Q129" s="238"/>
      <c r="R129" s="239"/>
      <c r="S129" s="239"/>
      <c r="T129" s="23"/>
      <c r="U129" s="256">
        <f t="shared" si="6"/>
        <v>0</v>
      </c>
      <c r="V129" s="257"/>
      <c r="W129"/>
      <c r="X129"/>
    </row>
    <row r="130" spans="1:24" ht="22.5" customHeight="1" x14ac:dyDescent="0.25">
      <c r="A130" s="14">
        <v>110</v>
      </c>
      <c r="B130" s="252"/>
      <c r="C130" s="252"/>
      <c r="D130" s="251"/>
      <c r="E130" s="251"/>
      <c r="F130" s="252"/>
      <c r="G130" s="252"/>
      <c r="H130" s="251"/>
      <c r="I130" s="251"/>
      <c r="J130" s="323">
        <f t="shared" si="5"/>
        <v>0</v>
      </c>
      <c r="K130" s="324"/>
      <c r="L130" s="343"/>
      <c r="M130" s="15">
        <v>110</v>
      </c>
      <c r="N130" s="260"/>
      <c r="O130" s="260"/>
      <c r="P130" s="259"/>
      <c r="Q130" s="259"/>
      <c r="R130" s="260"/>
      <c r="S130" s="260"/>
      <c r="T130" s="24"/>
      <c r="U130" s="340">
        <f t="shared" si="6"/>
        <v>0</v>
      </c>
      <c r="V130" s="341"/>
      <c r="W130"/>
      <c r="X130"/>
    </row>
    <row r="131" spans="1:24" ht="22.5" customHeight="1" x14ac:dyDescent="0.25">
      <c r="A131" s="22">
        <v>111</v>
      </c>
      <c r="B131" s="239"/>
      <c r="C131" s="239"/>
      <c r="D131" s="238"/>
      <c r="E131" s="238"/>
      <c r="F131" s="239"/>
      <c r="G131" s="239"/>
      <c r="H131" s="238"/>
      <c r="I131" s="238"/>
      <c r="J131" s="309">
        <f t="shared" si="5"/>
        <v>0</v>
      </c>
      <c r="K131" s="309"/>
      <c r="L131" s="343"/>
      <c r="M131" s="22">
        <v>111</v>
      </c>
      <c r="N131" s="239"/>
      <c r="O131" s="239"/>
      <c r="P131" s="238"/>
      <c r="Q131" s="238"/>
      <c r="R131" s="239"/>
      <c r="S131" s="239"/>
      <c r="T131" s="23"/>
      <c r="U131" s="256">
        <f t="shared" si="6"/>
        <v>0</v>
      </c>
      <c r="V131" s="257"/>
      <c r="W131"/>
      <c r="X131"/>
    </row>
    <row r="132" spans="1:24" ht="22.5" customHeight="1" x14ac:dyDescent="0.25">
      <c r="A132" s="14">
        <v>112</v>
      </c>
      <c r="B132" s="252"/>
      <c r="C132" s="252"/>
      <c r="D132" s="251"/>
      <c r="E132" s="251"/>
      <c r="F132" s="252"/>
      <c r="G132" s="252"/>
      <c r="H132" s="251"/>
      <c r="I132" s="251"/>
      <c r="J132" s="323">
        <f t="shared" si="5"/>
        <v>0</v>
      </c>
      <c r="K132" s="324"/>
      <c r="L132" s="343"/>
      <c r="M132" s="15">
        <v>112</v>
      </c>
      <c r="N132" s="260"/>
      <c r="O132" s="260"/>
      <c r="P132" s="259"/>
      <c r="Q132" s="259"/>
      <c r="R132" s="260"/>
      <c r="S132" s="260"/>
      <c r="T132" s="24"/>
      <c r="U132" s="340">
        <f t="shared" si="6"/>
        <v>0</v>
      </c>
      <c r="V132" s="341"/>
      <c r="W132"/>
      <c r="X132"/>
    </row>
    <row r="133" spans="1:24" ht="22.5" customHeight="1" x14ac:dyDescent="0.25">
      <c r="A133" s="22">
        <v>113</v>
      </c>
      <c r="B133" s="239"/>
      <c r="C133" s="239"/>
      <c r="D133" s="238"/>
      <c r="E133" s="238"/>
      <c r="F133" s="239"/>
      <c r="G133" s="239"/>
      <c r="H133" s="238"/>
      <c r="I133" s="238"/>
      <c r="J133" s="309">
        <f t="shared" si="5"/>
        <v>0</v>
      </c>
      <c r="K133" s="309"/>
      <c r="L133" s="343"/>
      <c r="M133" s="22">
        <v>113</v>
      </c>
      <c r="N133" s="239"/>
      <c r="O133" s="239"/>
      <c r="P133" s="238"/>
      <c r="Q133" s="238"/>
      <c r="R133" s="239"/>
      <c r="S133" s="239"/>
      <c r="T133" s="23"/>
      <c r="U133" s="256">
        <f t="shared" si="6"/>
        <v>0</v>
      </c>
      <c r="V133" s="257"/>
      <c r="W133"/>
      <c r="X133"/>
    </row>
    <row r="134" spans="1:24" ht="22.5" customHeight="1" x14ac:dyDescent="0.25">
      <c r="A134" s="14">
        <v>114</v>
      </c>
      <c r="B134" s="252"/>
      <c r="C134" s="252"/>
      <c r="D134" s="251"/>
      <c r="E134" s="251"/>
      <c r="F134" s="252"/>
      <c r="G134" s="252"/>
      <c r="H134" s="251"/>
      <c r="I134" s="251"/>
      <c r="J134" s="323">
        <f t="shared" si="5"/>
        <v>0</v>
      </c>
      <c r="K134" s="324"/>
      <c r="L134" s="343"/>
      <c r="M134" s="15">
        <v>114</v>
      </c>
      <c r="N134" s="260"/>
      <c r="O134" s="260"/>
      <c r="P134" s="259"/>
      <c r="Q134" s="259"/>
      <c r="R134" s="260"/>
      <c r="S134" s="260"/>
      <c r="T134" s="24"/>
      <c r="U134" s="340">
        <f t="shared" si="6"/>
        <v>0</v>
      </c>
      <c r="V134" s="341"/>
      <c r="W134"/>
      <c r="X134"/>
    </row>
    <row r="135" spans="1:24" ht="22.5" customHeight="1" x14ac:dyDescent="0.25">
      <c r="A135" s="22">
        <v>115</v>
      </c>
      <c r="B135" s="239"/>
      <c r="C135" s="239"/>
      <c r="D135" s="238"/>
      <c r="E135" s="238"/>
      <c r="F135" s="239"/>
      <c r="G135" s="239"/>
      <c r="H135" s="238"/>
      <c r="I135" s="238"/>
      <c r="J135" s="309">
        <f t="shared" si="5"/>
        <v>0</v>
      </c>
      <c r="K135" s="309"/>
      <c r="L135" s="343"/>
      <c r="M135" s="22">
        <v>115</v>
      </c>
      <c r="N135" s="239"/>
      <c r="O135" s="239"/>
      <c r="P135" s="238"/>
      <c r="Q135" s="238"/>
      <c r="R135" s="239"/>
      <c r="S135" s="239"/>
      <c r="T135" s="23"/>
      <c r="U135" s="256">
        <f t="shared" si="6"/>
        <v>0</v>
      </c>
      <c r="V135" s="257"/>
      <c r="W135"/>
      <c r="X135"/>
    </row>
    <row r="136" spans="1:24" ht="22.5" customHeight="1" x14ac:dyDescent="0.25">
      <c r="A136" s="14">
        <v>116</v>
      </c>
      <c r="B136" s="252"/>
      <c r="C136" s="252"/>
      <c r="D136" s="251"/>
      <c r="E136" s="251"/>
      <c r="F136" s="252"/>
      <c r="G136" s="252"/>
      <c r="H136" s="251"/>
      <c r="I136" s="251"/>
      <c r="J136" s="323">
        <f t="shared" si="5"/>
        <v>0</v>
      </c>
      <c r="K136" s="324"/>
      <c r="L136" s="343"/>
      <c r="M136" s="15">
        <v>116</v>
      </c>
      <c r="N136" s="260"/>
      <c r="O136" s="260"/>
      <c r="P136" s="259"/>
      <c r="Q136" s="259"/>
      <c r="R136" s="260"/>
      <c r="S136" s="260"/>
      <c r="T136" s="24"/>
      <c r="U136" s="340">
        <f t="shared" si="6"/>
        <v>0</v>
      </c>
      <c r="V136" s="341"/>
      <c r="W136"/>
      <c r="X136"/>
    </row>
    <row r="137" spans="1:24" ht="22.5" customHeight="1" x14ac:dyDescent="0.25">
      <c r="A137" s="22">
        <v>117</v>
      </c>
      <c r="B137" s="239"/>
      <c r="C137" s="239"/>
      <c r="D137" s="238"/>
      <c r="E137" s="238"/>
      <c r="F137" s="239"/>
      <c r="G137" s="239"/>
      <c r="H137" s="238"/>
      <c r="I137" s="238"/>
      <c r="J137" s="309">
        <f t="shared" si="5"/>
        <v>0</v>
      </c>
      <c r="K137" s="309"/>
      <c r="L137" s="343"/>
      <c r="M137" s="22">
        <v>117</v>
      </c>
      <c r="N137" s="239"/>
      <c r="O137" s="239"/>
      <c r="P137" s="238"/>
      <c r="Q137" s="238"/>
      <c r="R137" s="239"/>
      <c r="S137" s="239"/>
      <c r="T137" s="23"/>
      <c r="U137" s="256">
        <f t="shared" si="6"/>
        <v>0</v>
      </c>
      <c r="V137" s="257"/>
      <c r="W137"/>
      <c r="X137"/>
    </row>
    <row r="138" spans="1:24" ht="22.5" customHeight="1" x14ac:dyDescent="0.25">
      <c r="A138" s="14">
        <v>118</v>
      </c>
      <c r="B138" s="252"/>
      <c r="C138" s="252"/>
      <c r="D138" s="251"/>
      <c r="E138" s="251"/>
      <c r="F138" s="252"/>
      <c r="G138" s="252"/>
      <c r="H138" s="251"/>
      <c r="I138" s="251"/>
      <c r="J138" s="323">
        <f t="shared" si="5"/>
        <v>0</v>
      </c>
      <c r="K138" s="324"/>
      <c r="L138" s="343"/>
      <c r="M138" s="15">
        <v>118</v>
      </c>
      <c r="N138" s="260"/>
      <c r="O138" s="260"/>
      <c r="P138" s="259"/>
      <c r="Q138" s="259"/>
      <c r="R138" s="260"/>
      <c r="S138" s="260"/>
      <c r="T138" s="24"/>
      <c r="U138" s="340">
        <f t="shared" si="6"/>
        <v>0</v>
      </c>
      <c r="V138" s="341"/>
      <c r="W138"/>
      <c r="X138"/>
    </row>
    <row r="139" spans="1:24" ht="22.5" customHeight="1" x14ac:dyDescent="0.25">
      <c r="A139" s="22">
        <v>119</v>
      </c>
      <c r="B139" s="239"/>
      <c r="C139" s="239"/>
      <c r="D139" s="238"/>
      <c r="E139" s="238"/>
      <c r="F139" s="239"/>
      <c r="G139" s="239"/>
      <c r="H139" s="238"/>
      <c r="I139" s="238"/>
      <c r="J139" s="309">
        <f t="shared" si="5"/>
        <v>0</v>
      </c>
      <c r="K139" s="309"/>
      <c r="L139" s="343"/>
      <c r="M139" s="22">
        <v>119</v>
      </c>
      <c r="N139" s="239"/>
      <c r="O139" s="239"/>
      <c r="P139" s="238"/>
      <c r="Q139" s="238"/>
      <c r="R139" s="239"/>
      <c r="S139" s="239"/>
      <c r="T139" s="23"/>
      <c r="U139" s="256">
        <f t="shared" si="6"/>
        <v>0</v>
      </c>
      <c r="V139" s="257"/>
      <c r="W139"/>
      <c r="X139"/>
    </row>
    <row r="140" spans="1:24" ht="22.5" customHeight="1" x14ac:dyDescent="0.25">
      <c r="A140" s="14">
        <v>120</v>
      </c>
      <c r="B140" s="252"/>
      <c r="C140" s="252"/>
      <c r="D140" s="251"/>
      <c r="E140" s="251"/>
      <c r="F140" s="252"/>
      <c r="G140" s="252"/>
      <c r="H140" s="251"/>
      <c r="I140" s="251"/>
      <c r="J140" s="323">
        <f t="shared" si="5"/>
        <v>0</v>
      </c>
      <c r="K140" s="324"/>
      <c r="L140" s="343"/>
      <c r="M140" s="15">
        <v>120</v>
      </c>
      <c r="N140" s="260"/>
      <c r="O140" s="260"/>
      <c r="P140" s="259"/>
      <c r="Q140" s="259"/>
      <c r="R140" s="260"/>
      <c r="S140" s="260"/>
      <c r="T140" s="24"/>
      <c r="U140" s="340">
        <f t="shared" si="6"/>
        <v>0</v>
      </c>
      <c r="V140" s="341"/>
      <c r="W140"/>
      <c r="X140"/>
    </row>
    <row r="141" spans="1:24" ht="22.5" customHeight="1" x14ac:dyDescent="0.25">
      <c r="A141" s="22">
        <v>121</v>
      </c>
      <c r="B141" s="239"/>
      <c r="C141" s="239"/>
      <c r="D141" s="238"/>
      <c r="E141" s="238"/>
      <c r="F141" s="239"/>
      <c r="G141" s="239"/>
      <c r="H141" s="238"/>
      <c r="I141" s="238"/>
      <c r="J141" s="309">
        <f t="shared" si="5"/>
        <v>0</v>
      </c>
      <c r="K141" s="309"/>
      <c r="L141" s="343"/>
      <c r="M141" s="22">
        <v>121</v>
      </c>
      <c r="N141" s="239"/>
      <c r="O141" s="239"/>
      <c r="P141" s="238"/>
      <c r="Q141" s="238"/>
      <c r="R141" s="239"/>
      <c r="S141" s="239"/>
      <c r="T141" s="23"/>
      <c r="U141" s="256">
        <f t="shared" si="6"/>
        <v>0</v>
      </c>
      <c r="V141" s="257"/>
      <c r="W141"/>
      <c r="X141"/>
    </row>
    <row r="142" spans="1:24" ht="22.5" customHeight="1" x14ac:dyDescent="0.25">
      <c r="A142" s="14">
        <v>122</v>
      </c>
      <c r="B142" s="252"/>
      <c r="C142" s="252"/>
      <c r="D142" s="251"/>
      <c r="E142" s="251"/>
      <c r="F142" s="252"/>
      <c r="G142" s="252"/>
      <c r="H142" s="251"/>
      <c r="I142" s="251"/>
      <c r="J142" s="323">
        <f t="shared" si="5"/>
        <v>0</v>
      </c>
      <c r="K142" s="324"/>
      <c r="L142" s="343"/>
      <c r="M142" s="15">
        <v>122</v>
      </c>
      <c r="N142" s="260"/>
      <c r="O142" s="260"/>
      <c r="P142" s="259"/>
      <c r="Q142" s="259"/>
      <c r="R142" s="260"/>
      <c r="S142" s="260"/>
      <c r="T142" s="24"/>
      <c r="U142" s="340">
        <f t="shared" si="6"/>
        <v>0</v>
      </c>
      <c r="V142" s="341"/>
      <c r="W142"/>
      <c r="X142"/>
    </row>
    <row r="143" spans="1:24" ht="22.5" customHeight="1" x14ac:dyDescent="0.25">
      <c r="A143" s="22">
        <v>123</v>
      </c>
      <c r="B143" s="239"/>
      <c r="C143" s="239"/>
      <c r="D143" s="238"/>
      <c r="E143" s="238"/>
      <c r="F143" s="239"/>
      <c r="G143" s="239"/>
      <c r="H143" s="238"/>
      <c r="I143" s="238"/>
      <c r="J143" s="309">
        <f t="shared" si="5"/>
        <v>0</v>
      </c>
      <c r="K143" s="309"/>
      <c r="L143" s="343"/>
      <c r="M143" s="22">
        <v>123</v>
      </c>
      <c r="N143" s="239"/>
      <c r="O143" s="239"/>
      <c r="P143" s="238"/>
      <c r="Q143" s="238"/>
      <c r="R143" s="239"/>
      <c r="S143" s="239"/>
      <c r="T143" s="23"/>
      <c r="U143" s="256">
        <f t="shared" si="6"/>
        <v>0</v>
      </c>
      <c r="V143" s="257"/>
      <c r="W143"/>
      <c r="X143"/>
    </row>
    <row r="144" spans="1:24" ht="22.5" customHeight="1" x14ac:dyDescent="0.25">
      <c r="A144" s="14">
        <v>124</v>
      </c>
      <c r="B144" s="252"/>
      <c r="C144" s="252"/>
      <c r="D144" s="251"/>
      <c r="E144" s="251"/>
      <c r="F144" s="252"/>
      <c r="G144" s="252"/>
      <c r="H144" s="251"/>
      <c r="I144" s="251"/>
      <c r="J144" s="323">
        <f t="shared" si="5"/>
        <v>0</v>
      </c>
      <c r="K144" s="324"/>
      <c r="L144" s="343"/>
      <c r="M144" s="15">
        <v>124</v>
      </c>
      <c r="N144" s="260"/>
      <c r="O144" s="260"/>
      <c r="P144" s="259"/>
      <c r="Q144" s="259"/>
      <c r="R144" s="260"/>
      <c r="S144" s="260"/>
      <c r="T144" s="24"/>
      <c r="U144" s="340">
        <f t="shared" si="6"/>
        <v>0</v>
      </c>
      <c r="V144" s="341"/>
      <c r="W144"/>
      <c r="X144"/>
    </row>
    <row r="145" spans="1:24" ht="22.5" customHeight="1" x14ac:dyDescent="0.25">
      <c r="A145" s="22">
        <v>125</v>
      </c>
      <c r="B145" s="239"/>
      <c r="C145" s="239"/>
      <c r="D145" s="238"/>
      <c r="E145" s="238"/>
      <c r="F145" s="239"/>
      <c r="G145" s="239"/>
      <c r="H145" s="238"/>
      <c r="I145" s="238"/>
      <c r="J145" s="309">
        <f t="shared" si="5"/>
        <v>0</v>
      </c>
      <c r="K145" s="309"/>
      <c r="L145" s="343"/>
      <c r="M145" s="22">
        <v>125</v>
      </c>
      <c r="N145" s="239"/>
      <c r="O145" s="239"/>
      <c r="P145" s="238"/>
      <c r="Q145" s="238"/>
      <c r="R145" s="239"/>
      <c r="S145" s="239"/>
      <c r="T145" s="23"/>
      <c r="U145" s="256">
        <f t="shared" si="6"/>
        <v>0</v>
      </c>
      <c r="V145" s="257"/>
      <c r="W145"/>
      <c r="X145"/>
    </row>
    <row r="146" spans="1:24" ht="22.5" customHeight="1" x14ac:dyDescent="0.25">
      <c r="A146" s="14">
        <v>126</v>
      </c>
      <c r="B146" s="252"/>
      <c r="C146" s="252"/>
      <c r="D146" s="251"/>
      <c r="E146" s="251"/>
      <c r="F146" s="252"/>
      <c r="G146" s="252"/>
      <c r="H146" s="251"/>
      <c r="I146" s="251"/>
      <c r="J146" s="323">
        <f t="shared" si="5"/>
        <v>0</v>
      </c>
      <c r="K146" s="324"/>
      <c r="L146" s="343"/>
      <c r="M146" s="15">
        <v>126</v>
      </c>
      <c r="N146" s="260"/>
      <c r="O146" s="260"/>
      <c r="P146" s="259"/>
      <c r="Q146" s="259"/>
      <c r="R146" s="260"/>
      <c r="S146" s="260"/>
      <c r="T146" s="24"/>
      <c r="U146" s="340">
        <f t="shared" si="6"/>
        <v>0</v>
      </c>
      <c r="V146" s="341"/>
      <c r="W146"/>
      <c r="X146"/>
    </row>
    <row r="147" spans="1:24" ht="22.5" customHeight="1" x14ac:dyDescent="0.25">
      <c r="A147" s="22">
        <v>127</v>
      </c>
      <c r="B147" s="239"/>
      <c r="C147" s="239"/>
      <c r="D147" s="238"/>
      <c r="E147" s="238"/>
      <c r="F147" s="239"/>
      <c r="G147" s="239"/>
      <c r="H147" s="238"/>
      <c r="I147" s="238"/>
      <c r="J147" s="309">
        <f t="shared" si="5"/>
        <v>0</v>
      </c>
      <c r="K147" s="309"/>
      <c r="L147" s="343"/>
      <c r="M147" s="22">
        <v>127</v>
      </c>
      <c r="N147" s="239"/>
      <c r="O147" s="239"/>
      <c r="P147" s="238"/>
      <c r="Q147" s="238"/>
      <c r="R147" s="239"/>
      <c r="S147" s="239"/>
      <c r="T147" s="23"/>
      <c r="U147" s="256">
        <f t="shared" si="6"/>
        <v>0</v>
      </c>
      <c r="V147" s="257"/>
      <c r="W147"/>
      <c r="X147"/>
    </row>
    <row r="148" spans="1:24" ht="22.5" customHeight="1" x14ac:dyDescent="0.25">
      <c r="A148" s="14">
        <v>128</v>
      </c>
      <c r="B148" s="252"/>
      <c r="C148" s="252"/>
      <c r="D148" s="251"/>
      <c r="E148" s="251"/>
      <c r="F148" s="252"/>
      <c r="G148" s="252"/>
      <c r="H148" s="251"/>
      <c r="I148" s="251"/>
      <c r="J148" s="323">
        <f t="shared" si="5"/>
        <v>0</v>
      </c>
      <c r="K148" s="324"/>
      <c r="L148" s="343"/>
      <c r="M148" s="15">
        <v>128</v>
      </c>
      <c r="N148" s="260"/>
      <c r="O148" s="260"/>
      <c r="P148" s="259"/>
      <c r="Q148" s="259"/>
      <c r="R148" s="260"/>
      <c r="S148" s="260"/>
      <c r="T148" s="24"/>
      <c r="U148" s="340">
        <f t="shared" si="6"/>
        <v>0</v>
      </c>
      <c r="V148" s="341"/>
      <c r="W148"/>
      <c r="X148"/>
    </row>
    <row r="149" spans="1:24" ht="22.5" customHeight="1" x14ac:dyDescent="0.25">
      <c r="A149" s="22">
        <v>129</v>
      </c>
      <c r="B149" s="239"/>
      <c r="C149" s="239"/>
      <c r="D149" s="238"/>
      <c r="E149" s="238"/>
      <c r="F149" s="239"/>
      <c r="G149" s="239"/>
      <c r="H149" s="238"/>
      <c r="I149" s="238"/>
      <c r="J149" s="309">
        <f t="shared" si="5"/>
        <v>0</v>
      </c>
      <c r="K149" s="309"/>
      <c r="L149" s="343"/>
      <c r="M149" s="22">
        <v>129</v>
      </c>
      <c r="N149" s="239"/>
      <c r="O149" s="239"/>
      <c r="P149" s="238"/>
      <c r="Q149" s="238"/>
      <c r="R149" s="239"/>
      <c r="S149" s="239"/>
      <c r="T149" s="23"/>
      <c r="U149" s="256">
        <f t="shared" si="6"/>
        <v>0</v>
      </c>
      <c r="V149" s="257"/>
      <c r="W149"/>
      <c r="X149"/>
    </row>
    <row r="150" spans="1:24" ht="22.5" customHeight="1" x14ac:dyDescent="0.25">
      <c r="A150" s="14">
        <v>130</v>
      </c>
      <c r="B150" s="252"/>
      <c r="C150" s="252"/>
      <c r="D150" s="251"/>
      <c r="E150" s="251"/>
      <c r="F150" s="252"/>
      <c r="G150" s="252"/>
      <c r="H150" s="251"/>
      <c r="I150" s="251"/>
      <c r="J150" s="323">
        <f t="shared" ref="J150:J213" si="7">D150*F150+H150</f>
        <v>0</v>
      </c>
      <c r="K150" s="324"/>
      <c r="L150" s="343"/>
      <c r="M150" s="15">
        <v>130</v>
      </c>
      <c r="N150" s="260"/>
      <c r="O150" s="260"/>
      <c r="P150" s="259"/>
      <c r="Q150" s="259"/>
      <c r="R150" s="260"/>
      <c r="S150" s="260"/>
      <c r="T150" s="24"/>
      <c r="U150" s="340">
        <f t="shared" si="6"/>
        <v>0</v>
      </c>
      <c r="V150" s="341"/>
      <c r="W150"/>
      <c r="X150"/>
    </row>
    <row r="151" spans="1:24" ht="22.5" customHeight="1" x14ac:dyDescent="0.25">
      <c r="A151" s="22">
        <v>131</v>
      </c>
      <c r="B151" s="239"/>
      <c r="C151" s="239"/>
      <c r="D151" s="238"/>
      <c r="E151" s="238"/>
      <c r="F151" s="239"/>
      <c r="G151" s="239"/>
      <c r="H151" s="238"/>
      <c r="I151" s="238"/>
      <c r="J151" s="309">
        <f t="shared" si="7"/>
        <v>0</v>
      </c>
      <c r="K151" s="309"/>
      <c r="L151" s="343"/>
      <c r="M151" s="22">
        <v>131</v>
      </c>
      <c r="N151" s="239"/>
      <c r="O151" s="239"/>
      <c r="P151" s="238"/>
      <c r="Q151" s="238"/>
      <c r="R151" s="239"/>
      <c r="S151" s="239"/>
      <c r="T151" s="23"/>
      <c r="U151" s="256">
        <f t="shared" ref="U151:U170" si="8">P151+R151</f>
        <v>0</v>
      </c>
      <c r="V151" s="257"/>
      <c r="W151"/>
      <c r="X151"/>
    </row>
    <row r="152" spans="1:24" ht="22.5" customHeight="1" x14ac:dyDescent="0.25">
      <c r="A152" s="14">
        <v>132</v>
      </c>
      <c r="B152" s="252"/>
      <c r="C152" s="252"/>
      <c r="D152" s="251"/>
      <c r="E152" s="251"/>
      <c r="F152" s="252"/>
      <c r="G152" s="252"/>
      <c r="H152" s="251"/>
      <c r="I152" s="251"/>
      <c r="J152" s="323">
        <f t="shared" si="7"/>
        <v>0</v>
      </c>
      <c r="K152" s="324"/>
      <c r="L152" s="343"/>
      <c r="M152" s="15">
        <v>132</v>
      </c>
      <c r="N152" s="260"/>
      <c r="O152" s="260"/>
      <c r="P152" s="259"/>
      <c r="Q152" s="259"/>
      <c r="R152" s="260"/>
      <c r="S152" s="260"/>
      <c r="T152" s="24"/>
      <c r="U152" s="340">
        <f t="shared" si="8"/>
        <v>0</v>
      </c>
      <c r="V152" s="341"/>
      <c r="W152"/>
      <c r="X152"/>
    </row>
    <row r="153" spans="1:24" ht="22.5" customHeight="1" x14ac:dyDescent="0.25">
      <c r="A153" s="22">
        <v>133</v>
      </c>
      <c r="B153" s="239"/>
      <c r="C153" s="239"/>
      <c r="D153" s="238"/>
      <c r="E153" s="238"/>
      <c r="F153" s="239"/>
      <c r="G153" s="239"/>
      <c r="H153" s="238"/>
      <c r="I153" s="238"/>
      <c r="J153" s="309">
        <f t="shared" si="7"/>
        <v>0</v>
      </c>
      <c r="K153" s="309"/>
      <c r="L153" s="343"/>
      <c r="M153" s="22">
        <v>133</v>
      </c>
      <c r="N153" s="239"/>
      <c r="O153" s="239"/>
      <c r="P153" s="238"/>
      <c r="Q153" s="238"/>
      <c r="R153" s="239"/>
      <c r="S153" s="239"/>
      <c r="T153" s="23"/>
      <c r="U153" s="256">
        <f t="shared" si="8"/>
        <v>0</v>
      </c>
      <c r="V153" s="257"/>
      <c r="W153"/>
      <c r="X153"/>
    </row>
    <row r="154" spans="1:24" ht="22.5" customHeight="1" x14ac:dyDescent="0.25">
      <c r="A154" s="14">
        <v>134</v>
      </c>
      <c r="B154" s="252"/>
      <c r="C154" s="252"/>
      <c r="D154" s="251"/>
      <c r="E154" s="251"/>
      <c r="F154" s="252"/>
      <c r="G154" s="252"/>
      <c r="H154" s="251"/>
      <c r="I154" s="251"/>
      <c r="J154" s="323">
        <f t="shared" si="7"/>
        <v>0</v>
      </c>
      <c r="K154" s="324"/>
      <c r="L154" s="343"/>
      <c r="M154" s="15">
        <v>134</v>
      </c>
      <c r="N154" s="260"/>
      <c r="O154" s="260"/>
      <c r="P154" s="259"/>
      <c r="Q154" s="259"/>
      <c r="R154" s="260"/>
      <c r="S154" s="260"/>
      <c r="T154" s="24"/>
      <c r="U154" s="340">
        <f t="shared" si="8"/>
        <v>0</v>
      </c>
      <c r="V154" s="341"/>
      <c r="W154"/>
      <c r="X154"/>
    </row>
    <row r="155" spans="1:24" ht="22.5" customHeight="1" x14ac:dyDescent="0.25">
      <c r="A155" s="22">
        <v>135</v>
      </c>
      <c r="B155" s="239"/>
      <c r="C155" s="239"/>
      <c r="D155" s="238"/>
      <c r="E155" s="238"/>
      <c r="F155" s="239"/>
      <c r="G155" s="239"/>
      <c r="H155" s="238"/>
      <c r="I155" s="238"/>
      <c r="J155" s="309">
        <f t="shared" si="7"/>
        <v>0</v>
      </c>
      <c r="K155" s="309"/>
      <c r="L155" s="343"/>
      <c r="M155" s="22">
        <v>135</v>
      </c>
      <c r="N155" s="239"/>
      <c r="O155" s="239"/>
      <c r="P155" s="238"/>
      <c r="Q155" s="238"/>
      <c r="R155" s="239"/>
      <c r="S155" s="239"/>
      <c r="T155" s="23"/>
      <c r="U155" s="256">
        <f t="shared" si="8"/>
        <v>0</v>
      </c>
      <c r="V155" s="257"/>
      <c r="W155"/>
      <c r="X155"/>
    </row>
    <row r="156" spans="1:24" ht="22.5" customHeight="1" x14ac:dyDescent="0.25">
      <c r="A156" s="14">
        <v>136</v>
      </c>
      <c r="B156" s="252"/>
      <c r="C156" s="252"/>
      <c r="D156" s="251"/>
      <c r="E156" s="251"/>
      <c r="F156" s="252"/>
      <c r="G156" s="252"/>
      <c r="H156" s="251"/>
      <c r="I156" s="251"/>
      <c r="J156" s="323">
        <f t="shared" si="7"/>
        <v>0</v>
      </c>
      <c r="K156" s="324"/>
      <c r="L156" s="343"/>
      <c r="M156" s="15">
        <v>136</v>
      </c>
      <c r="N156" s="260"/>
      <c r="O156" s="260"/>
      <c r="P156" s="259"/>
      <c r="Q156" s="259"/>
      <c r="R156" s="260"/>
      <c r="S156" s="260"/>
      <c r="T156" s="24"/>
      <c r="U156" s="340">
        <f t="shared" si="8"/>
        <v>0</v>
      </c>
      <c r="V156" s="341"/>
      <c r="W156"/>
      <c r="X156"/>
    </row>
    <row r="157" spans="1:24" ht="22.5" customHeight="1" x14ac:dyDescent="0.25">
      <c r="A157" s="22">
        <v>137</v>
      </c>
      <c r="B157" s="239"/>
      <c r="C157" s="239"/>
      <c r="D157" s="238"/>
      <c r="E157" s="238"/>
      <c r="F157" s="239"/>
      <c r="G157" s="239"/>
      <c r="H157" s="238"/>
      <c r="I157" s="238"/>
      <c r="J157" s="309">
        <f t="shared" si="7"/>
        <v>0</v>
      </c>
      <c r="K157" s="309"/>
      <c r="L157" s="343"/>
      <c r="M157" s="22">
        <v>137</v>
      </c>
      <c r="N157" s="239"/>
      <c r="O157" s="239"/>
      <c r="P157" s="238"/>
      <c r="Q157" s="238"/>
      <c r="R157" s="239"/>
      <c r="S157" s="239"/>
      <c r="T157" s="23"/>
      <c r="U157" s="256">
        <f t="shared" si="8"/>
        <v>0</v>
      </c>
      <c r="V157" s="257"/>
      <c r="W157"/>
      <c r="X157"/>
    </row>
    <row r="158" spans="1:24" ht="22.5" customHeight="1" x14ac:dyDescent="0.25">
      <c r="A158" s="14">
        <v>138</v>
      </c>
      <c r="B158" s="252"/>
      <c r="C158" s="252"/>
      <c r="D158" s="251"/>
      <c r="E158" s="251"/>
      <c r="F158" s="252"/>
      <c r="G158" s="252"/>
      <c r="H158" s="251"/>
      <c r="I158" s="251"/>
      <c r="J158" s="323">
        <f t="shared" si="7"/>
        <v>0</v>
      </c>
      <c r="K158" s="324"/>
      <c r="L158" s="343"/>
      <c r="M158" s="15">
        <v>138</v>
      </c>
      <c r="N158" s="260"/>
      <c r="O158" s="260"/>
      <c r="P158" s="259"/>
      <c r="Q158" s="259"/>
      <c r="R158" s="260"/>
      <c r="S158" s="260"/>
      <c r="T158" s="24"/>
      <c r="U158" s="340">
        <f t="shared" si="8"/>
        <v>0</v>
      </c>
      <c r="V158" s="341"/>
      <c r="W158"/>
      <c r="X158"/>
    </row>
    <row r="159" spans="1:24" ht="22.5" customHeight="1" x14ac:dyDescent="0.25">
      <c r="A159" s="22">
        <v>139</v>
      </c>
      <c r="B159" s="239"/>
      <c r="C159" s="239"/>
      <c r="D159" s="238"/>
      <c r="E159" s="238"/>
      <c r="F159" s="239"/>
      <c r="G159" s="239"/>
      <c r="H159" s="238"/>
      <c r="I159" s="238"/>
      <c r="J159" s="309">
        <f t="shared" si="7"/>
        <v>0</v>
      </c>
      <c r="K159" s="309"/>
      <c r="L159" s="343"/>
      <c r="M159" s="22">
        <v>139</v>
      </c>
      <c r="N159" s="239"/>
      <c r="O159" s="239"/>
      <c r="P159" s="238"/>
      <c r="Q159" s="238"/>
      <c r="R159" s="239"/>
      <c r="S159" s="239"/>
      <c r="T159" s="23"/>
      <c r="U159" s="256">
        <f t="shared" si="8"/>
        <v>0</v>
      </c>
      <c r="V159" s="257"/>
      <c r="W159"/>
      <c r="X159"/>
    </row>
    <row r="160" spans="1:24" ht="22.5" customHeight="1" x14ac:dyDescent="0.25">
      <c r="A160" s="14">
        <v>140</v>
      </c>
      <c r="B160" s="252"/>
      <c r="C160" s="252"/>
      <c r="D160" s="251"/>
      <c r="E160" s="251"/>
      <c r="F160" s="252"/>
      <c r="G160" s="252"/>
      <c r="H160" s="251"/>
      <c r="I160" s="251"/>
      <c r="J160" s="323">
        <f t="shared" si="7"/>
        <v>0</v>
      </c>
      <c r="K160" s="324"/>
      <c r="L160" s="343"/>
      <c r="M160" s="15">
        <v>140</v>
      </c>
      <c r="N160" s="260"/>
      <c r="O160" s="260"/>
      <c r="P160" s="259"/>
      <c r="Q160" s="259"/>
      <c r="R160" s="260"/>
      <c r="S160" s="260"/>
      <c r="T160" s="24"/>
      <c r="U160" s="340">
        <f t="shared" si="8"/>
        <v>0</v>
      </c>
      <c r="V160" s="341"/>
      <c r="W160"/>
      <c r="X160"/>
    </row>
    <row r="161" spans="1:24" ht="22.5" customHeight="1" x14ac:dyDescent="0.25">
      <c r="A161" s="22">
        <v>141</v>
      </c>
      <c r="B161" s="239"/>
      <c r="C161" s="239"/>
      <c r="D161" s="238"/>
      <c r="E161" s="238"/>
      <c r="F161" s="239"/>
      <c r="G161" s="239"/>
      <c r="H161" s="238"/>
      <c r="I161" s="238"/>
      <c r="J161" s="309">
        <f t="shared" si="7"/>
        <v>0</v>
      </c>
      <c r="K161" s="309"/>
      <c r="L161" s="343"/>
      <c r="M161" s="22">
        <v>141</v>
      </c>
      <c r="N161" s="239"/>
      <c r="O161" s="239"/>
      <c r="P161" s="238"/>
      <c r="Q161" s="238"/>
      <c r="R161" s="239"/>
      <c r="S161" s="239"/>
      <c r="T161" s="23"/>
      <c r="U161" s="256">
        <f t="shared" si="8"/>
        <v>0</v>
      </c>
      <c r="V161" s="257"/>
      <c r="W161"/>
      <c r="X161"/>
    </row>
    <row r="162" spans="1:24" ht="22.5" customHeight="1" x14ac:dyDescent="0.25">
      <c r="A162" s="14">
        <v>142</v>
      </c>
      <c r="B162" s="252"/>
      <c r="C162" s="252"/>
      <c r="D162" s="251"/>
      <c r="E162" s="251"/>
      <c r="F162" s="252"/>
      <c r="G162" s="252"/>
      <c r="H162" s="251"/>
      <c r="I162" s="251"/>
      <c r="J162" s="323">
        <f t="shared" si="7"/>
        <v>0</v>
      </c>
      <c r="K162" s="324"/>
      <c r="L162" s="343"/>
      <c r="M162" s="15">
        <v>142</v>
      </c>
      <c r="N162" s="260"/>
      <c r="O162" s="260"/>
      <c r="P162" s="259"/>
      <c r="Q162" s="259"/>
      <c r="R162" s="260"/>
      <c r="S162" s="260"/>
      <c r="T162" s="24"/>
      <c r="U162" s="340">
        <f t="shared" si="8"/>
        <v>0</v>
      </c>
      <c r="V162" s="341"/>
      <c r="W162"/>
      <c r="X162"/>
    </row>
    <row r="163" spans="1:24" ht="22.5" customHeight="1" x14ac:dyDescent="0.25">
      <c r="A163" s="22">
        <v>143</v>
      </c>
      <c r="B163" s="239"/>
      <c r="C163" s="239"/>
      <c r="D163" s="238"/>
      <c r="E163" s="238"/>
      <c r="F163" s="239"/>
      <c r="G163" s="239"/>
      <c r="H163" s="238"/>
      <c r="I163" s="238"/>
      <c r="J163" s="309">
        <f t="shared" si="7"/>
        <v>0</v>
      </c>
      <c r="K163" s="309"/>
      <c r="L163" s="343"/>
      <c r="M163" s="22">
        <v>143</v>
      </c>
      <c r="N163" s="239"/>
      <c r="O163" s="239"/>
      <c r="P163" s="238"/>
      <c r="Q163" s="238"/>
      <c r="R163" s="239"/>
      <c r="S163" s="239"/>
      <c r="T163" s="23"/>
      <c r="U163" s="256">
        <f t="shared" si="8"/>
        <v>0</v>
      </c>
      <c r="V163" s="257"/>
      <c r="W163"/>
      <c r="X163"/>
    </row>
    <row r="164" spans="1:24" ht="22.5" customHeight="1" x14ac:dyDescent="0.25">
      <c r="A164" s="14">
        <v>144</v>
      </c>
      <c r="B164" s="252"/>
      <c r="C164" s="252"/>
      <c r="D164" s="251"/>
      <c r="E164" s="251"/>
      <c r="F164" s="252"/>
      <c r="G164" s="252"/>
      <c r="H164" s="251"/>
      <c r="I164" s="251"/>
      <c r="J164" s="323">
        <f t="shared" si="7"/>
        <v>0</v>
      </c>
      <c r="K164" s="324"/>
      <c r="L164" s="343"/>
      <c r="M164" s="15">
        <v>144</v>
      </c>
      <c r="N164" s="260"/>
      <c r="O164" s="260"/>
      <c r="P164" s="259"/>
      <c r="Q164" s="259"/>
      <c r="R164" s="260"/>
      <c r="S164" s="260"/>
      <c r="T164" s="24"/>
      <c r="U164" s="340">
        <f t="shared" si="8"/>
        <v>0</v>
      </c>
      <c r="V164" s="341"/>
      <c r="W164"/>
      <c r="X164"/>
    </row>
    <row r="165" spans="1:24" ht="22.5" customHeight="1" x14ac:dyDescent="0.25">
      <c r="A165" s="22">
        <v>145</v>
      </c>
      <c r="B165" s="239"/>
      <c r="C165" s="239"/>
      <c r="D165" s="238"/>
      <c r="E165" s="238"/>
      <c r="F165" s="239"/>
      <c r="G165" s="239"/>
      <c r="H165" s="238"/>
      <c r="I165" s="238"/>
      <c r="J165" s="309">
        <f t="shared" si="7"/>
        <v>0</v>
      </c>
      <c r="K165" s="309"/>
      <c r="L165" s="343"/>
      <c r="M165" s="22">
        <v>145</v>
      </c>
      <c r="N165" s="239"/>
      <c r="O165" s="239"/>
      <c r="P165" s="238"/>
      <c r="Q165" s="238"/>
      <c r="R165" s="239"/>
      <c r="S165" s="239"/>
      <c r="T165" s="23"/>
      <c r="U165" s="256">
        <f t="shared" si="8"/>
        <v>0</v>
      </c>
      <c r="V165" s="257"/>
      <c r="W165"/>
      <c r="X165"/>
    </row>
    <row r="166" spans="1:24" ht="22.5" customHeight="1" x14ac:dyDescent="0.25">
      <c r="A166" s="14">
        <v>146</v>
      </c>
      <c r="B166" s="252"/>
      <c r="C166" s="252"/>
      <c r="D166" s="251"/>
      <c r="E166" s="251"/>
      <c r="F166" s="252"/>
      <c r="G166" s="252"/>
      <c r="H166" s="251"/>
      <c r="I166" s="251"/>
      <c r="J166" s="323">
        <f t="shared" si="7"/>
        <v>0</v>
      </c>
      <c r="K166" s="324"/>
      <c r="L166" s="343"/>
      <c r="M166" s="15">
        <v>146</v>
      </c>
      <c r="N166" s="260"/>
      <c r="O166" s="260"/>
      <c r="P166" s="259"/>
      <c r="Q166" s="259"/>
      <c r="R166" s="260"/>
      <c r="S166" s="260"/>
      <c r="T166" s="24"/>
      <c r="U166" s="340">
        <f t="shared" si="8"/>
        <v>0</v>
      </c>
      <c r="V166" s="341"/>
      <c r="W166"/>
      <c r="X166"/>
    </row>
    <row r="167" spans="1:24" ht="22.5" customHeight="1" x14ac:dyDescent="0.25">
      <c r="A167" s="22">
        <v>147</v>
      </c>
      <c r="B167" s="239"/>
      <c r="C167" s="239"/>
      <c r="D167" s="238"/>
      <c r="E167" s="238"/>
      <c r="F167" s="239"/>
      <c r="G167" s="239"/>
      <c r="H167" s="238"/>
      <c r="I167" s="238"/>
      <c r="J167" s="309">
        <f t="shared" si="7"/>
        <v>0</v>
      </c>
      <c r="K167" s="309"/>
      <c r="L167" s="343"/>
      <c r="M167" s="22">
        <v>147</v>
      </c>
      <c r="N167" s="239"/>
      <c r="O167" s="239"/>
      <c r="P167" s="238"/>
      <c r="Q167" s="238"/>
      <c r="R167" s="239"/>
      <c r="S167" s="239"/>
      <c r="T167" s="23"/>
      <c r="U167" s="256">
        <f t="shared" si="8"/>
        <v>0</v>
      </c>
      <c r="V167" s="257"/>
      <c r="W167"/>
      <c r="X167"/>
    </row>
    <row r="168" spans="1:24" ht="22.5" customHeight="1" x14ac:dyDescent="0.25">
      <c r="A168" s="14">
        <v>148</v>
      </c>
      <c r="B168" s="252"/>
      <c r="C168" s="252"/>
      <c r="D168" s="251"/>
      <c r="E168" s="251"/>
      <c r="F168" s="252"/>
      <c r="G168" s="252"/>
      <c r="H168" s="251"/>
      <c r="I168" s="251"/>
      <c r="J168" s="323">
        <f t="shared" si="7"/>
        <v>0</v>
      </c>
      <c r="K168" s="324"/>
      <c r="L168" s="343"/>
      <c r="M168" s="15">
        <v>148</v>
      </c>
      <c r="N168" s="260"/>
      <c r="O168" s="260"/>
      <c r="P168" s="259"/>
      <c r="Q168" s="259"/>
      <c r="R168" s="260"/>
      <c r="S168" s="260"/>
      <c r="T168" s="24"/>
      <c r="U168" s="340">
        <f t="shared" si="8"/>
        <v>0</v>
      </c>
      <c r="V168" s="341"/>
      <c r="W168"/>
      <c r="X168"/>
    </row>
    <row r="169" spans="1:24" ht="22.5" customHeight="1" x14ac:dyDescent="0.25">
      <c r="A169" s="22">
        <v>149</v>
      </c>
      <c r="B169" s="239"/>
      <c r="C169" s="239"/>
      <c r="D169" s="238"/>
      <c r="E169" s="238"/>
      <c r="F169" s="239"/>
      <c r="G169" s="239"/>
      <c r="H169" s="238"/>
      <c r="I169" s="238"/>
      <c r="J169" s="309">
        <f t="shared" si="7"/>
        <v>0</v>
      </c>
      <c r="K169" s="309"/>
      <c r="L169" s="343"/>
      <c r="M169" s="22">
        <v>149</v>
      </c>
      <c r="N169" s="239"/>
      <c r="O169" s="239"/>
      <c r="P169" s="238"/>
      <c r="Q169" s="238"/>
      <c r="R169" s="239"/>
      <c r="S169" s="239"/>
      <c r="T169" s="23"/>
      <c r="U169" s="256">
        <f t="shared" si="8"/>
        <v>0</v>
      </c>
      <c r="V169" s="257"/>
      <c r="W169"/>
      <c r="X169"/>
    </row>
    <row r="170" spans="1:24" ht="22.5" customHeight="1" x14ac:dyDescent="0.25">
      <c r="A170" s="14">
        <v>150</v>
      </c>
      <c r="B170" s="252"/>
      <c r="C170" s="252"/>
      <c r="D170" s="251"/>
      <c r="E170" s="251"/>
      <c r="F170" s="252"/>
      <c r="G170" s="252"/>
      <c r="H170" s="251"/>
      <c r="I170" s="251"/>
      <c r="J170" s="323">
        <f t="shared" si="7"/>
        <v>0</v>
      </c>
      <c r="K170" s="324"/>
      <c r="L170" s="343"/>
      <c r="M170" s="15">
        <v>150</v>
      </c>
      <c r="N170" s="260"/>
      <c r="O170" s="260"/>
      <c r="P170" s="259"/>
      <c r="Q170" s="259"/>
      <c r="R170" s="260"/>
      <c r="S170" s="260"/>
      <c r="T170" s="24"/>
      <c r="U170" s="340">
        <f t="shared" si="8"/>
        <v>0</v>
      </c>
      <c r="V170" s="341"/>
      <c r="W170"/>
      <c r="X170"/>
    </row>
    <row r="171" spans="1:24" ht="22.5" customHeight="1" x14ac:dyDescent="0.25">
      <c r="A171" s="22">
        <v>151</v>
      </c>
      <c r="B171" s="239"/>
      <c r="C171" s="239"/>
      <c r="D171" s="238"/>
      <c r="E171" s="238"/>
      <c r="F171" s="239"/>
      <c r="G171" s="239"/>
      <c r="H171" s="238"/>
      <c r="I171" s="238"/>
      <c r="J171" s="309">
        <f t="shared" si="7"/>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7"/>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7"/>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7"/>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7"/>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7"/>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7"/>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7"/>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7"/>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7"/>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7"/>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7"/>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7"/>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7"/>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7"/>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7"/>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7"/>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7"/>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7"/>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7"/>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7"/>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7"/>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7"/>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7"/>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7"/>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7"/>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7"/>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7"/>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7"/>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7"/>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7"/>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7"/>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7"/>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7"/>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7"/>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7"/>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7"/>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7"/>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7"/>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7"/>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7"/>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7"/>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7"/>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9">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9"/>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9"/>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9"/>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9"/>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9"/>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9"/>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yZCzEkzGEk9uaasJYy7Ipmu799D7LP3GnkDBfpbv2NLJ7xp+mxFRVCLEYp5mQoaNjVHsAhWfHU0Y/rbNturo7g==" saltValue="Kb/YgcvREFqaYExhwNX1DQ=="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{10674489-5010-48CC-B92D-D4C27DD4511A}</x14:id>
        </ext>
      </extLst>
    </cfRule>
  </conditionalFormatting>
  <conditionalFormatting sqref="U10:X11">
    <cfRule type="cellIs" dxfId="39" priority="3" operator="greaterThan">
      <formula>0</formula>
    </cfRule>
    <cfRule type="cellIs" dxfId="38" priority="4" operator="lessThan">
      <formula>0</formula>
    </cfRule>
  </conditionalFormatting>
  <conditionalFormatting sqref="F10:H11">
    <cfRule type="cellIs" dxfId="37" priority="1" operator="greaterThan">
      <formula>0</formula>
    </cfRule>
    <cfRule type="cellIs" dxfId="36"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10674489-5010-48CC-B92D-D4C27DD4511A}">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7"/>
  <dimension ref="A1:AA263"/>
  <sheetViews>
    <sheetView showGridLines="0" zoomScale="70" zoomScaleNormal="70" workbookViewId="0">
      <selection activeCell="B32" sqref="B32:C32"/>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762</v>
      </c>
      <c r="B1" s="262"/>
      <c r="C1" s="313" t="str">
        <f>'Hisse İsimleri'!B8</f>
        <v>VESBE</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1685</v>
      </c>
      <c r="G4" s="271"/>
      <c r="H4" s="272"/>
      <c r="I4" s="267" t="s">
        <v>13</v>
      </c>
      <c r="J4" s="268"/>
      <c r="K4" s="268"/>
      <c r="L4" s="268"/>
      <c r="M4" s="268"/>
      <c r="N4" s="275">
        <f>AVERAGE(T21:T170)</f>
        <v>0.05</v>
      </c>
      <c r="O4" s="275"/>
      <c r="P4" s="276"/>
      <c r="Q4" s="267" t="s">
        <v>673</v>
      </c>
      <c r="R4" s="268"/>
      <c r="S4" s="268"/>
      <c r="T4" s="268"/>
      <c r="U4" s="279">
        <f>F8*F4</f>
        <v>19731.350000000002</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10000</v>
      </c>
      <c r="G6" s="208"/>
      <c r="H6" s="209"/>
      <c r="I6" s="269" t="s">
        <v>674</v>
      </c>
      <c r="J6" s="270"/>
      <c r="K6" s="270"/>
      <c r="L6" s="270"/>
      <c r="M6" s="270"/>
      <c r="N6" s="282">
        <f>U6/F4</f>
        <v>10.35125068249258</v>
      </c>
      <c r="O6" s="282"/>
      <c r="P6" s="284"/>
      <c r="Q6" s="269" t="s">
        <v>675</v>
      </c>
      <c r="R6" s="270"/>
      <c r="S6" s="270"/>
      <c r="T6" s="270"/>
      <c r="U6" s="282">
        <f>SUM(J21:K220)-SUM(U21:U170)</f>
        <v>17441.857399999997</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f>'Hisse İsimleri'!D8</f>
        <v>11.71</v>
      </c>
      <c r="G8" s="282"/>
      <c r="H8" s="284"/>
      <c r="I8" s="269" t="s">
        <v>677</v>
      </c>
      <c r="J8" s="270"/>
      <c r="K8" s="270"/>
      <c r="L8" s="270"/>
      <c r="M8" s="270"/>
      <c r="N8" s="282">
        <f>SUM(U21:U170)</f>
        <v>172</v>
      </c>
      <c r="O8" s="282"/>
      <c r="P8" s="284"/>
      <c r="Q8" s="295" t="s">
        <v>678</v>
      </c>
      <c r="R8" s="296"/>
      <c r="S8" s="296"/>
      <c r="T8" s="297"/>
      <c r="U8" s="301">
        <f>SUM(H21:I220)</f>
        <v>35.157400000000003</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f>'Hisse İsimleri'!E8</f>
        <v>-5.1000000000000004E-3</v>
      </c>
      <c r="G10" s="287"/>
      <c r="H10" s="288"/>
      <c r="I10" s="269" t="s">
        <v>710</v>
      </c>
      <c r="J10" s="270"/>
      <c r="K10" s="270"/>
      <c r="L10" s="270"/>
      <c r="M10" s="270"/>
      <c r="N10" s="291">
        <f>U10/U6</f>
        <v>0.13126426546750722</v>
      </c>
      <c r="O10" s="291"/>
      <c r="P10" s="292"/>
      <c r="Q10" s="295" t="s">
        <v>587</v>
      </c>
      <c r="R10" s="296"/>
      <c r="S10" s="296"/>
      <c r="T10" s="297"/>
      <c r="U10" s="301">
        <f>U4-U6</f>
        <v>2289.492600000005</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f>F4*100/F6</f>
        <v>16.850000000000001</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v>44652</v>
      </c>
      <c r="C21" s="237"/>
      <c r="D21" s="238">
        <v>8.6300000000000008</v>
      </c>
      <c r="E21" s="238"/>
      <c r="F21" s="239">
        <v>155</v>
      </c>
      <c r="G21" s="239"/>
      <c r="H21" s="307">
        <f t="shared" ref="H21:H30" si="0">(D21*F21)*(2/1000)</f>
        <v>2.6753000000000005</v>
      </c>
      <c r="I21" s="308"/>
      <c r="J21" s="309">
        <f>D21*F21+H21</f>
        <v>1340.3253000000002</v>
      </c>
      <c r="K21" s="309"/>
      <c r="L21" s="343"/>
      <c r="M21" s="22">
        <v>1</v>
      </c>
      <c r="N21" s="237">
        <v>44682</v>
      </c>
      <c r="O21" s="239"/>
      <c r="P21" s="238">
        <v>172</v>
      </c>
      <c r="Q21" s="238"/>
      <c r="R21" s="239">
        <v>0</v>
      </c>
      <c r="S21" s="239"/>
      <c r="T21" s="23">
        <v>0.05</v>
      </c>
      <c r="U21" s="256">
        <f>P21+R21</f>
        <v>172</v>
      </c>
      <c r="V21" s="322"/>
      <c r="W21" s="325" t="s">
        <v>709</v>
      </c>
      <c r="X21" s="326"/>
    </row>
    <row r="22" spans="1:24" ht="22.5" customHeight="1" x14ac:dyDescent="0.25">
      <c r="A22" s="14">
        <v>2</v>
      </c>
      <c r="B22" s="250">
        <v>44682</v>
      </c>
      <c r="C22" s="252"/>
      <c r="D22" s="251">
        <v>9.17</v>
      </c>
      <c r="E22" s="251"/>
      <c r="F22" s="252">
        <v>210</v>
      </c>
      <c r="G22" s="252"/>
      <c r="H22" s="251">
        <f t="shared" si="0"/>
        <v>3.8514000000000004</v>
      </c>
      <c r="I22" s="251"/>
      <c r="J22" s="323">
        <f t="shared" ref="J22:J85" si="1">D22*F22+H22</f>
        <v>1929.5514000000001</v>
      </c>
      <c r="K22" s="324"/>
      <c r="L22" s="343"/>
      <c r="M22" s="15">
        <v>2</v>
      </c>
      <c r="N22" s="260"/>
      <c r="O22" s="260"/>
      <c r="P22" s="259"/>
      <c r="Q22" s="259"/>
      <c r="R22" s="260"/>
      <c r="S22" s="260"/>
      <c r="T22" s="24"/>
      <c r="U22" s="340">
        <f>P22+R22</f>
        <v>0</v>
      </c>
      <c r="V22" s="341"/>
      <c r="W22" s="327"/>
      <c r="X22" s="328"/>
    </row>
    <row r="23" spans="1:24" ht="22.5" customHeight="1" x14ac:dyDescent="0.25">
      <c r="A23" s="22">
        <v>3</v>
      </c>
      <c r="B23" s="237">
        <v>44713</v>
      </c>
      <c r="C23" s="237"/>
      <c r="D23" s="238">
        <v>9.98</v>
      </c>
      <c r="E23" s="238"/>
      <c r="F23" s="239">
        <v>100</v>
      </c>
      <c r="G23" s="239"/>
      <c r="H23" s="307">
        <f t="shared" si="0"/>
        <v>1.996</v>
      </c>
      <c r="I23" s="308"/>
      <c r="J23" s="309">
        <f t="shared" si="1"/>
        <v>999.99599999999998</v>
      </c>
      <c r="K23" s="309"/>
      <c r="L23" s="343"/>
      <c r="M23" s="22">
        <v>3</v>
      </c>
      <c r="N23" s="239"/>
      <c r="O23" s="239"/>
      <c r="P23" s="238"/>
      <c r="Q23" s="238"/>
      <c r="R23" s="239"/>
      <c r="S23" s="239"/>
      <c r="T23" s="23"/>
      <c r="U23" s="256">
        <f t="shared" ref="U23:U86" si="2">P23+R23</f>
        <v>0</v>
      </c>
      <c r="V23" s="257"/>
      <c r="W23" s="327"/>
      <c r="X23" s="328"/>
    </row>
    <row r="24" spans="1:24" ht="22.5" customHeight="1" x14ac:dyDescent="0.25">
      <c r="A24" s="14">
        <v>4</v>
      </c>
      <c r="B24" s="250">
        <v>44743</v>
      </c>
      <c r="C24" s="252"/>
      <c r="D24" s="251">
        <v>8.7200000000000006</v>
      </c>
      <c r="E24" s="251"/>
      <c r="F24" s="252">
        <v>85</v>
      </c>
      <c r="G24" s="252"/>
      <c r="H24" s="251">
        <f t="shared" si="0"/>
        <v>1.4824000000000002</v>
      </c>
      <c r="I24" s="251"/>
      <c r="J24" s="323">
        <f t="shared" si="1"/>
        <v>742.68240000000003</v>
      </c>
      <c r="K24" s="324"/>
      <c r="L24" s="343"/>
      <c r="M24" s="15">
        <v>4</v>
      </c>
      <c r="N24" s="260"/>
      <c r="O24" s="260"/>
      <c r="P24" s="259"/>
      <c r="Q24" s="259"/>
      <c r="R24" s="260"/>
      <c r="S24" s="260"/>
      <c r="T24" s="24"/>
      <c r="U24" s="340">
        <f t="shared" si="2"/>
        <v>0</v>
      </c>
      <c r="V24" s="341"/>
      <c r="W24" s="327"/>
      <c r="X24" s="328"/>
    </row>
    <row r="25" spans="1:24" ht="22.5" customHeight="1" x14ac:dyDescent="0.25">
      <c r="A25" s="22">
        <v>5</v>
      </c>
      <c r="B25" s="237">
        <v>44774</v>
      </c>
      <c r="C25" s="237"/>
      <c r="D25" s="238">
        <v>9.32</v>
      </c>
      <c r="E25" s="238"/>
      <c r="F25" s="239">
        <v>100</v>
      </c>
      <c r="G25" s="239"/>
      <c r="H25" s="307">
        <f t="shared" si="0"/>
        <v>1.8640000000000001</v>
      </c>
      <c r="I25" s="308"/>
      <c r="J25" s="309">
        <f t="shared" si="1"/>
        <v>933.86400000000003</v>
      </c>
      <c r="K25" s="309"/>
      <c r="L25" s="343"/>
      <c r="M25" s="22">
        <v>5</v>
      </c>
      <c r="N25" s="239"/>
      <c r="O25" s="239"/>
      <c r="P25" s="238"/>
      <c r="Q25" s="238"/>
      <c r="R25" s="239"/>
      <c r="S25" s="239"/>
      <c r="T25" s="23"/>
      <c r="U25" s="256">
        <f t="shared" si="2"/>
        <v>0</v>
      </c>
      <c r="V25" s="257"/>
      <c r="W25" s="327"/>
      <c r="X25" s="328"/>
    </row>
    <row r="26" spans="1:24" ht="22.5" customHeight="1" x14ac:dyDescent="0.25">
      <c r="A26" s="14">
        <v>6</v>
      </c>
      <c r="B26" s="250">
        <v>44805</v>
      </c>
      <c r="C26" s="252"/>
      <c r="D26" s="251">
        <v>9.4700000000000006</v>
      </c>
      <c r="E26" s="251"/>
      <c r="F26" s="252">
        <v>90</v>
      </c>
      <c r="G26" s="252"/>
      <c r="H26" s="251">
        <f t="shared" si="0"/>
        <v>1.7046000000000001</v>
      </c>
      <c r="I26" s="251"/>
      <c r="J26" s="323">
        <f t="shared" si="1"/>
        <v>854.0046000000001</v>
      </c>
      <c r="K26" s="324"/>
      <c r="L26" s="343"/>
      <c r="M26" s="15">
        <v>6</v>
      </c>
      <c r="N26" s="260"/>
      <c r="O26" s="260"/>
      <c r="P26" s="259"/>
      <c r="Q26" s="259"/>
      <c r="R26" s="260"/>
      <c r="S26" s="260"/>
      <c r="T26" s="24"/>
      <c r="U26" s="340">
        <f t="shared" si="2"/>
        <v>0</v>
      </c>
      <c r="V26" s="341"/>
      <c r="W26" s="327"/>
      <c r="X26" s="328"/>
    </row>
    <row r="27" spans="1:24" ht="22.5" customHeight="1" x14ac:dyDescent="0.25">
      <c r="A27" s="22">
        <v>7</v>
      </c>
      <c r="B27" s="237">
        <v>44835</v>
      </c>
      <c r="C27" s="237"/>
      <c r="D27" s="238">
        <v>9.6199999999999992</v>
      </c>
      <c r="E27" s="238"/>
      <c r="F27" s="239">
        <v>50</v>
      </c>
      <c r="G27" s="239"/>
      <c r="H27" s="307">
        <f t="shared" si="0"/>
        <v>0.96199999999999986</v>
      </c>
      <c r="I27" s="308"/>
      <c r="J27" s="309">
        <f t="shared" si="1"/>
        <v>481.96199999999993</v>
      </c>
      <c r="K27" s="309"/>
      <c r="L27" s="343"/>
      <c r="M27" s="22">
        <v>7</v>
      </c>
      <c r="N27" s="239"/>
      <c r="O27" s="239"/>
      <c r="P27" s="238"/>
      <c r="Q27" s="238"/>
      <c r="R27" s="239"/>
      <c r="S27" s="239"/>
      <c r="T27" s="23"/>
      <c r="U27" s="256">
        <f t="shared" si="2"/>
        <v>0</v>
      </c>
      <c r="V27" s="257"/>
      <c r="W27" s="327"/>
      <c r="X27" s="328"/>
    </row>
    <row r="28" spans="1:24" ht="22.5" customHeight="1" x14ac:dyDescent="0.25">
      <c r="A28" s="14">
        <v>8</v>
      </c>
      <c r="B28" s="250">
        <v>44866</v>
      </c>
      <c r="C28" s="252"/>
      <c r="D28" s="251">
        <v>9.66</v>
      </c>
      <c r="E28" s="251"/>
      <c r="F28" s="252">
        <v>405</v>
      </c>
      <c r="G28" s="252"/>
      <c r="H28" s="251">
        <f t="shared" si="0"/>
        <v>7.8246000000000002</v>
      </c>
      <c r="I28" s="251"/>
      <c r="J28" s="323">
        <f t="shared" si="1"/>
        <v>3920.1246000000001</v>
      </c>
      <c r="K28" s="324"/>
      <c r="L28" s="343"/>
      <c r="M28" s="15">
        <v>8</v>
      </c>
      <c r="N28" s="260"/>
      <c r="O28" s="260"/>
      <c r="P28" s="259"/>
      <c r="Q28" s="259"/>
      <c r="R28" s="260"/>
      <c r="S28" s="260"/>
      <c r="T28" s="24"/>
      <c r="U28" s="340">
        <f t="shared" si="2"/>
        <v>0</v>
      </c>
      <c r="V28" s="341"/>
      <c r="W28" s="327"/>
      <c r="X28" s="328"/>
    </row>
    <row r="29" spans="1:24" ht="22.5" customHeight="1" x14ac:dyDescent="0.25">
      <c r="A29" s="22">
        <v>9</v>
      </c>
      <c r="B29" s="237">
        <v>44896</v>
      </c>
      <c r="C29" s="237"/>
      <c r="D29" s="238">
        <v>13.31</v>
      </c>
      <c r="E29" s="238"/>
      <c r="F29" s="239">
        <v>85</v>
      </c>
      <c r="G29" s="239"/>
      <c r="H29" s="307">
        <f t="shared" si="0"/>
        <v>2.2627000000000002</v>
      </c>
      <c r="I29" s="308"/>
      <c r="J29" s="309">
        <f t="shared" si="1"/>
        <v>1133.6127000000001</v>
      </c>
      <c r="K29" s="309"/>
      <c r="L29" s="343"/>
      <c r="M29" s="22">
        <v>9</v>
      </c>
      <c r="N29" s="239"/>
      <c r="O29" s="239"/>
      <c r="P29" s="238"/>
      <c r="Q29" s="238"/>
      <c r="R29" s="239"/>
      <c r="S29" s="239"/>
      <c r="T29" s="23"/>
      <c r="U29" s="256">
        <f t="shared" si="2"/>
        <v>0</v>
      </c>
      <c r="V29" s="257"/>
      <c r="W29" s="327"/>
      <c r="X29" s="328"/>
    </row>
    <row r="30" spans="1:24" ht="22.5" customHeight="1" x14ac:dyDescent="0.25">
      <c r="A30" s="14">
        <v>10</v>
      </c>
      <c r="B30" s="250">
        <v>44927</v>
      </c>
      <c r="C30" s="252"/>
      <c r="D30" s="251">
        <v>13.6</v>
      </c>
      <c r="E30" s="251"/>
      <c r="F30" s="252">
        <v>275</v>
      </c>
      <c r="G30" s="252"/>
      <c r="H30" s="251">
        <f t="shared" si="0"/>
        <v>7.48</v>
      </c>
      <c r="I30" s="251"/>
      <c r="J30" s="323">
        <f t="shared" si="1"/>
        <v>3747.48</v>
      </c>
      <c r="K30" s="324"/>
      <c r="L30" s="343"/>
      <c r="M30" s="15">
        <v>10</v>
      </c>
      <c r="N30" s="260"/>
      <c r="O30" s="260"/>
      <c r="P30" s="259"/>
      <c r="Q30" s="259"/>
      <c r="R30" s="260"/>
      <c r="S30" s="260"/>
      <c r="T30" s="24"/>
      <c r="U30" s="340">
        <f t="shared" si="2"/>
        <v>0</v>
      </c>
      <c r="V30" s="341"/>
      <c r="W30" s="327"/>
      <c r="X30" s="328"/>
    </row>
    <row r="31" spans="1:24" ht="22.5" customHeight="1" x14ac:dyDescent="0.25">
      <c r="A31" s="22">
        <v>11</v>
      </c>
      <c r="B31" s="237">
        <v>44691</v>
      </c>
      <c r="C31" s="239"/>
      <c r="D31" s="238">
        <v>8.6</v>
      </c>
      <c r="E31" s="238"/>
      <c r="F31" s="239">
        <v>20</v>
      </c>
      <c r="G31" s="239"/>
      <c r="H31" s="238">
        <f t="shared" ref="H31" si="3">(D31*F31)*(2/1000)</f>
        <v>0.34400000000000003</v>
      </c>
      <c r="I31" s="238"/>
      <c r="J31" s="309">
        <f t="shared" si="1"/>
        <v>172.34399999999999</v>
      </c>
      <c r="K31" s="309"/>
      <c r="L31" s="343"/>
      <c r="M31" s="22">
        <v>11</v>
      </c>
      <c r="N31" s="239"/>
      <c r="O31" s="239"/>
      <c r="P31" s="238"/>
      <c r="Q31" s="238"/>
      <c r="R31" s="239"/>
      <c r="S31" s="239"/>
      <c r="T31" s="23"/>
      <c r="U31" s="256">
        <f t="shared" si="2"/>
        <v>0</v>
      </c>
      <c r="V31" s="257"/>
      <c r="W31" s="327"/>
      <c r="X31" s="328"/>
    </row>
    <row r="32" spans="1:24" ht="22.5" customHeight="1" x14ac:dyDescent="0.25">
      <c r="A32" s="14">
        <v>12</v>
      </c>
      <c r="B32" s="237">
        <v>44972</v>
      </c>
      <c r="C32" s="239"/>
      <c r="D32" s="251">
        <v>12.32</v>
      </c>
      <c r="E32" s="251"/>
      <c r="F32" s="252">
        <v>110</v>
      </c>
      <c r="G32" s="252"/>
      <c r="H32" s="251">
        <f t="shared" ref="H32" si="4">(D32*F32)*(2/1000)</f>
        <v>2.7104000000000004</v>
      </c>
      <c r="I32" s="251"/>
      <c r="J32" s="323">
        <f t="shared" si="1"/>
        <v>1357.9104</v>
      </c>
      <c r="K32" s="324"/>
      <c r="L32" s="343"/>
      <c r="M32" s="15">
        <v>12</v>
      </c>
      <c r="N32" s="260"/>
      <c r="O32" s="260"/>
      <c r="P32" s="259"/>
      <c r="Q32" s="259"/>
      <c r="R32" s="260"/>
      <c r="S32" s="260"/>
      <c r="T32" s="24"/>
      <c r="U32" s="340">
        <f t="shared" si="2"/>
        <v>0</v>
      </c>
      <c r="V32" s="341"/>
      <c r="W32" s="327"/>
      <c r="X32" s="328"/>
    </row>
    <row r="33" spans="1:24" ht="22.5" customHeight="1" x14ac:dyDescent="0.25">
      <c r="A33" s="22">
        <v>13</v>
      </c>
      <c r="B33" s="239"/>
      <c r="C33" s="239"/>
      <c r="D33" s="238"/>
      <c r="E33" s="238"/>
      <c r="F33" s="239"/>
      <c r="G33" s="239"/>
      <c r="H33" s="238"/>
      <c r="I33" s="238"/>
      <c r="J33" s="309">
        <f t="shared" si="1"/>
        <v>0</v>
      </c>
      <c r="K33" s="309"/>
      <c r="L33" s="343"/>
      <c r="M33" s="22">
        <v>13</v>
      </c>
      <c r="N33" s="239"/>
      <c r="O33" s="239"/>
      <c r="P33" s="238"/>
      <c r="Q33" s="238"/>
      <c r="R33" s="239"/>
      <c r="S33" s="239"/>
      <c r="T33" s="23"/>
      <c r="U33" s="256">
        <f t="shared" si="2"/>
        <v>0</v>
      </c>
      <c r="V33" s="257"/>
      <c r="W33" s="327"/>
      <c r="X33" s="328"/>
    </row>
    <row r="34" spans="1:24" ht="22.5" customHeight="1" x14ac:dyDescent="0.25">
      <c r="A34" s="14">
        <v>14</v>
      </c>
      <c r="B34" s="252"/>
      <c r="C34" s="252"/>
      <c r="D34" s="251"/>
      <c r="E34" s="251"/>
      <c r="F34" s="252"/>
      <c r="G34" s="252"/>
      <c r="H34" s="251"/>
      <c r="I34" s="251"/>
      <c r="J34" s="323">
        <f t="shared" si="1"/>
        <v>0</v>
      </c>
      <c r="K34" s="324"/>
      <c r="L34" s="343"/>
      <c r="M34" s="15">
        <v>14</v>
      </c>
      <c r="N34" s="260"/>
      <c r="O34" s="260"/>
      <c r="P34" s="259"/>
      <c r="Q34" s="259"/>
      <c r="R34" s="260"/>
      <c r="S34" s="260"/>
      <c r="T34" s="24"/>
      <c r="U34" s="340">
        <f t="shared" si="2"/>
        <v>0</v>
      </c>
      <c r="V34" s="341"/>
      <c r="W34" s="327"/>
      <c r="X34" s="328"/>
    </row>
    <row r="35" spans="1:24" ht="22.5" customHeight="1" x14ac:dyDescent="0.25">
      <c r="A35" s="22">
        <v>15</v>
      </c>
      <c r="B35" s="239"/>
      <c r="C35" s="239"/>
      <c r="D35" s="238"/>
      <c r="E35" s="238"/>
      <c r="F35" s="239"/>
      <c r="G35" s="239"/>
      <c r="H35" s="238"/>
      <c r="I35" s="238"/>
      <c r="J35" s="309">
        <f t="shared" si="1"/>
        <v>0</v>
      </c>
      <c r="K35" s="309"/>
      <c r="L35" s="343"/>
      <c r="M35" s="22">
        <v>15</v>
      </c>
      <c r="N35" s="239"/>
      <c r="O35" s="239"/>
      <c r="P35" s="238"/>
      <c r="Q35" s="238"/>
      <c r="R35" s="239"/>
      <c r="S35" s="239"/>
      <c r="T35" s="23"/>
      <c r="U35" s="256">
        <f t="shared" si="2"/>
        <v>0</v>
      </c>
      <c r="V35" s="257"/>
      <c r="W35" s="327"/>
      <c r="X35" s="328"/>
    </row>
    <row r="36" spans="1:24" ht="22.5" customHeight="1" x14ac:dyDescent="0.25">
      <c r="A36" s="14">
        <v>16</v>
      </c>
      <c r="B36" s="252"/>
      <c r="C36" s="252"/>
      <c r="D36" s="251"/>
      <c r="E36" s="251"/>
      <c r="F36" s="252"/>
      <c r="G36" s="252"/>
      <c r="H36" s="251"/>
      <c r="I36" s="251"/>
      <c r="J36" s="323">
        <f t="shared" si="1"/>
        <v>0</v>
      </c>
      <c r="K36" s="324"/>
      <c r="L36" s="343"/>
      <c r="M36" s="15">
        <v>16</v>
      </c>
      <c r="N36" s="260"/>
      <c r="O36" s="260"/>
      <c r="P36" s="259"/>
      <c r="Q36" s="259"/>
      <c r="R36" s="260"/>
      <c r="S36" s="260"/>
      <c r="T36" s="24"/>
      <c r="U36" s="340">
        <f t="shared" si="2"/>
        <v>0</v>
      </c>
      <c r="V36" s="341"/>
      <c r="W36" s="327"/>
      <c r="X36" s="328"/>
    </row>
    <row r="37" spans="1:24" ht="22.5" customHeight="1" x14ac:dyDescent="0.25">
      <c r="A37" s="22">
        <v>17</v>
      </c>
      <c r="B37" s="239"/>
      <c r="C37" s="239"/>
      <c r="D37" s="238"/>
      <c r="E37" s="238"/>
      <c r="F37" s="239"/>
      <c r="G37" s="239"/>
      <c r="H37" s="238"/>
      <c r="I37" s="238"/>
      <c r="J37" s="309">
        <f t="shared" si="1"/>
        <v>0</v>
      </c>
      <c r="K37" s="309"/>
      <c r="L37" s="343"/>
      <c r="M37" s="22">
        <v>17</v>
      </c>
      <c r="N37" s="239"/>
      <c r="O37" s="239"/>
      <c r="P37" s="238"/>
      <c r="Q37" s="238"/>
      <c r="R37" s="239"/>
      <c r="S37" s="239"/>
      <c r="T37" s="23"/>
      <c r="U37" s="256">
        <f t="shared" si="2"/>
        <v>0</v>
      </c>
      <c r="V37" s="257"/>
      <c r="W37" s="327"/>
      <c r="X37" s="328"/>
    </row>
    <row r="38" spans="1:24" ht="22.5" customHeight="1" x14ac:dyDescent="0.25">
      <c r="A38" s="14">
        <v>18</v>
      </c>
      <c r="B38" s="252"/>
      <c r="C38" s="252"/>
      <c r="D38" s="251"/>
      <c r="E38" s="251"/>
      <c r="F38" s="252"/>
      <c r="G38" s="252"/>
      <c r="H38" s="251"/>
      <c r="I38" s="251"/>
      <c r="J38" s="323">
        <f t="shared" si="1"/>
        <v>0</v>
      </c>
      <c r="K38" s="324"/>
      <c r="L38" s="343"/>
      <c r="M38" s="15">
        <v>18</v>
      </c>
      <c r="N38" s="260"/>
      <c r="O38" s="260"/>
      <c r="P38" s="259"/>
      <c r="Q38" s="259"/>
      <c r="R38" s="260"/>
      <c r="S38" s="260"/>
      <c r="T38" s="24"/>
      <c r="U38" s="340">
        <f t="shared" si="2"/>
        <v>0</v>
      </c>
      <c r="V38" s="341"/>
      <c r="W38" s="327"/>
      <c r="X38" s="328"/>
    </row>
    <row r="39" spans="1:24" ht="22.5" customHeight="1" x14ac:dyDescent="0.25">
      <c r="A39" s="22">
        <v>19</v>
      </c>
      <c r="B39" s="239"/>
      <c r="C39" s="239"/>
      <c r="D39" s="238"/>
      <c r="E39" s="238"/>
      <c r="F39" s="239"/>
      <c r="G39" s="239"/>
      <c r="H39" s="238"/>
      <c r="I39" s="238"/>
      <c r="J39" s="309">
        <f t="shared" si="1"/>
        <v>0</v>
      </c>
      <c r="K39" s="309"/>
      <c r="L39" s="343"/>
      <c r="M39" s="22">
        <v>19</v>
      </c>
      <c r="N39" s="239"/>
      <c r="O39" s="239"/>
      <c r="P39" s="238"/>
      <c r="Q39" s="238"/>
      <c r="R39" s="239"/>
      <c r="S39" s="239"/>
      <c r="T39" s="23"/>
      <c r="U39" s="256">
        <f t="shared" si="2"/>
        <v>0</v>
      </c>
      <c r="V39" s="257"/>
      <c r="W39" s="327"/>
      <c r="X39" s="328"/>
    </row>
    <row r="40" spans="1:24" ht="22.5" customHeight="1" x14ac:dyDescent="0.25">
      <c r="A40" s="14">
        <v>20</v>
      </c>
      <c r="B40" s="252"/>
      <c r="C40" s="252"/>
      <c r="D40" s="251"/>
      <c r="E40" s="251"/>
      <c r="F40" s="252"/>
      <c r="G40" s="252"/>
      <c r="H40" s="251"/>
      <c r="I40" s="251"/>
      <c r="J40" s="323">
        <f t="shared" si="1"/>
        <v>0</v>
      </c>
      <c r="K40" s="324"/>
      <c r="L40" s="343"/>
      <c r="M40" s="15">
        <v>20</v>
      </c>
      <c r="N40" s="260"/>
      <c r="O40" s="260"/>
      <c r="P40" s="259"/>
      <c r="Q40" s="259"/>
      <c r="R40" s="260"/>
      <c r="S40" s="260"/>
      <c r="T40" s="24"/>
      <c r="U40" s="340">
        <f t="shared" si="2"/>
        <v>0</v>
      </c>
      <c r="V40" s="341"/>
      <c r="W40" s="327"/>
      <c r="X40" s="328"/>
    </row>
    <row r="41" spans="1:24" ht="22.5" customHeight="1" x14ac:dyDescent="0.25">
      <c r="A41" s="22">
        <v>21</v>
      </c>
      <c r="B41" s="239"/>
      <c r="C41" s="239"/>
      <c r="D41" s="238"/>
      <c r="E41" s="238"/>
      <c r="F41" s="239"/>
      <c r="G41" s="239"/>
      <c r="H41" s="238"/>
      <c r="I41" s="238"/>
      <c r="J41" s="309">
        <f t="shared" si="1"/>
        <v>0</v>
      </c>
      <c r="K41" s="309"/>
      <c r="L41" s="343"/>
      <c r="M41" s="22">
        <v>21</v>
      </c>
      <c r="N41" s="239"/>
      <c r="O41" s="239"/>
      <c r="P41" s="238"/>
      <c r="Q41" s="238"/>
      <c r="R41" s="239"/>
      <c r="S41" s="239"/>
      <c r="T41" s="23"/>
      <c r="U41" s="256">
        <f t="shared" si="2"/>
        <v>0</v>
      </c>
      <c r="V41" s="257"/>
      <c r="W41" s="327"/>
      <c r="X41" s="328"/>
    </row>
    <row r="42" spans="1:24" ht="22.5" customHeight="1" x14ac:dyDescent="0.25">
      <c r="A42" s="14">
        <v>22</v>
      </c>
      <c r="B42" s="252"/>
      <c r="C42" s="252"/>
      <c r="D42" s="251"/>
      <c r="E42" s="251"/>
      <c r="F42" s="252"/>
      <c r="G42" s="252"/>
      <c r="H42" s="251"/>
      <c r="I42" s="251"/>
      <c r="J42" s="323">
        <f t="shared" si="1"/>
        <v>0</v>
      </c>
      <c r="K42" s="324"/>
      <c r="L42" s="343"/>
      <c r="M42" s="15">
        <v>22</v>
      </c>
      <c r="N42" s="260"/>
      <c r="O42" s="260"/>
      <c r="P42" s="259"/>
      <c r="Q42" s="259"/>
      <c r="R42" s="260"/>
      <c r="S42" s="260"/>
      <c r="T42" s="24"/>
      <c r="U42" s="340">
        <f t="shared" si="2"/>
        <v>0</v>
      </c>
      <c r="V42" s="341"/>
      <c r="W42" s="327"/>
      <c r="X42" s="328"/>
    </row>
    <row r="43" spans="1:24" ht="22.5" customHeight="1" x14ac:dyDescent="0.25">
      <c r="A43" s="22">
        <v>23</v>
      </c>
      <c r="B43" s="239"/>
      <c r="C43" s="239"/>
      <c r="D43" s="238"/>
      <c r="E43" s="238"/>
      <c r="F43" s="239"/>
      <c r="G43" s="239"/>
      <c r="H43" s="238"/>
      <c r="I43" s="238"/>
      <c r="J43" s="309">
        <f t="shared" si="1"/>
        <v>0</v>
      </c>
      <c r="K43" s="309"/>
      <c r="L43" s="343"/>
      <c r="M43" s="22">
        <v>23</v>
      </c>
      <c r="N43" s="239"/>
      <c r="O43" s="239"/>
      <c r="P43" s="238"/>
      <c r="Q43" s="238"/>
      <c r="R43" s="239"/>
      <c r="S43" s="239"/>
      <c r="T43" s="23"/>
      <c r="U43" s="256">
        <f t="shared" si="2"/>
        <v>0</v>
      </c>
      <c r="V43" s="257"/>
      <c r="W43" s="327"/>
      <c r="X43" s="328"/>
    </row>
    <row r="44" spans="1:24" ht="22.5" customHeight="1" x14ac:dyDescent="0.25">
      <c r="A44" s="14">
        <v>24</v>
      </c>
      <c r="B44" s="252"/>
      <c r="C44" s="252"/>
      <c r="D44" s="251"/>
      <c r="E44" s="251"/>
      <c r="F44" s="252"/>
      <c r="G44" s="252"/>
      <c r="H44" s="251"/>
      <c r="I44" s="251"/>
      <c r="J44" s="323">
        <f t="shared" si="1"/>
        <v>0</v>
      </c>
      <c r="K44" s="324"/>
      <c r="L44" s="343"/>
      <c r="M44" s="15">
        <v>24</v>
      </c>
      <c r="N44" s="260"/>
      <c r="O44" s="260"/>
      <c r="P44" s="259"/>
      <c r="Q44" s="259"/>
      <c r="R44" s="260"/>
      <c r="S44" s="260"/>
      <c r="T44" s="24"/>
      <c r="U44" s="340">
        <f t="shared" si="2"/>
        <v>0</v>
      </c>
      <c r="V44" s="341"/>
      <c r="W44" s="327"/>
      <c r="X44" s="328"/>
    </row>
    <row r="45" spans="1:24" ht="22.5" customHeight="1" x14ac:dyDescent="0.25">
      <c r="A45" s="22">
        <v>25</v>
      </c>
      <c r="B45" s="239"/>
      <c r="C45" s="239"/>
      <c r="D45" s="238"/>
      <c r="E45" s="238"/>
      <c r="F45" s="239"/>
      <c r="G45" s="239"/>
      <c r="H45" s="238"/>
      <c r="I45" s="238"/>
      <c r="J45" s="309">
        <f t="shared" si="1"/>
        <v>0</v>
      </c>
      <c r="K45" s="309"/>
      <c r="L45" s="343"/>
      <c r="M45" s="22">
        <v>25</v>
      </c>
      <c r="N45" s="239"/>
      <c r="O45" s="239"/>
      <c r="P45" s="238"/>
      <c r="Q45" s="238"/>
      <c r="R45" s="239"/>
      <c r="S45" s="239"/>
      <c r="T45" s="23"/>
      <c r="U45" s="256">
        <f t="shared" si="2"/>
        <v>0</v>
      </c>
      <c r="V45" s="257"/>
      <c r="W45" s="327"/>
      <c r="X45" s="328"/>
    </row>
    <row r="46" spans="1:24" ht="22.5" customHeight="1" x14ac:dyDescent="0.25">
      <c r="A46" s="14">
        <v>26</v>
      </c>
      <c r="B46" s="252"/>
      <c r="C46" s="252"/>
      <c r="D46" s="251"/>
      <c r="E46" s="251"/>
      <c r="F46" s="252"/>
      <c r="G46" s="252"/>
      <c r="H46" s="251"/>
      <c r="I46" s="251"/>
      <c r="J46" s="323">
        <f t="shared" si="1"/>
        <v>0</v>
      </c>
      <c r="K46" s="324"/>
      <c r="L46" s="343"/>
      <c r="M46" s="15">
        <v>26</v>
      </c>
      <c r="N46" s="260"/>
      <c r="O46" s="260"/>
      <c r="P46" s="259"/>
      <c r="Q46" s="259"/>
      <c r="R46" s="260"/>
      <c r="S46" s="260"/>
      <c r="T46" s="24"/>
      <c r="U46" s="340">
        <f t="shared" si="2"/>
        <v>0</v>
      </c>
      <c r="V46" s="341"/>
      <c r="W46" s="327"/>
      <c r="X46" s="328"/>
    </row>
    <row r="47" spans="1:24" ht="22.5" customHeight="1" x14ac:dyDescent="0.25">
      <c r="A47" s="22">
        <v>27</v>
      </c>
      <c r="B47" s="239"/>
      <c r="C47" s="239"/>
      <c r="D47" s="238"/>
      <c r="E47" s="238"/>
      <c r="F47" s="239"/>
      <c r="G47" s="239"/>
      <c r="H47" s="238"/>
      <c r="I47" s="238"/>
      <c r="J47" s="309">
        <f t="shared" si="1"/>
        <v>0</v>
      </c>
      <c r="K47" s="309"/>
      <c r="L47" s="343"/>
      <c r="M47" s="22">
        <v>27</v>
      </c>
      <c r="N47" s="239"/>
      <c r="O47" s="239"/>
      <c r="P47" s="238"/>
      <c r="Q47" s="238"/>
      <c r="R47" s="239"/>
      <c r="S47" s="239"/>
      <c r="T47" s="23"/>
      <c r="U47" s="256">
        <f t="shared" si="2"/>
        <v>0</v>
      </c>
      <c r="V47" s="257"/>
      <c r="W47" s="327"/>
      <c r="X47" s="328"/>
    </row>
    <row r="48" spans="1:24" ht="22.5" customHeight="1" x14ac:dyDescent="0.25">
      <c r="A48" s="14">
        <v>28</v>
      </c>
      <c r="B48" s="252"/>
      <c r="C48" s="252"/>
      <c r="D48" s="251"/>
      <c r="E48" s="251"/>
      <c r="F48" s="252"/>
      <c r="G48" s="252"/>
      <c r="H48" s="251"/>
      <c r="I48" s="251"/>
      <c r="J48" s="323">
        <f t="shared" si="1"/>
        <v>0</v>
      </c>
      <c r="K48" s="324"/>
      <c r="L48" s="343"/>
      <c r="M48" s="15">
        <v>28</v>
      </c>
      <c r="N48" s="260"/>
      <c r="O48" s="260"/>
      <c r="P48" s="259"/>
      <c r="Q48" s="259"/>
      <c r="R48" s="260"/>
      <c r="S48" s="260"/>
      <c r="T48" s="24"/>
      <c r="U48" s="340">
        <f t="shared" si="2"/>
        <v>0</v>
      </c>
      <c r="V48" s="341"/>
      <c r="W48" s="327"/>
      <c r="X48" s="328"/>
    </row>
    <row r="49" spans="1:24" ht="22.5" customHeight="1" x14ac:dyDescent="0.25">
      <c r="A49" s="22">
        <v>29</v>
      </c>
      <c r="B49" s="239"/>
      <c r="C49" s="239"/>
      <c r="D49" s="238"/>
      <c r="E49" s="238"/>
      <c r="F49" s="239"/>
      <c r="G49" s="239"/>
      <c r="H49" s="238"/>
      <c r="I49" s="238"/>
      <c r="J49" s="309">
        <f t="shared" si="1"/>
        <v>0</v>
      </c>
      <c r="K49" s="309"/>
      <c r="L49" s="343"/>
      <c r="M49" s="22">
        <v>29</v>
      </c>
      <c r="N49" s="239"/>
      <c r="O49" s="239"/>
      <c r="P49" s="238"/>
      <c r="Q49" s="238"/>
      <c r="R49" s="239"/>
      <c r="S49" s="239"/>
      <c r="T49" s="23"/>
      <c r="U49" s="256">
        <f t="shared" si="2"/>
        <v>0</v>
      </c>
      <c r="V49" s="257"/>
      <c r="W49" s="327"/>
      <c r="X49" s="328"/>
    </row>
    <row r="50" spans="1:24" ht="22.5" customHeight="1" x14ac:dyDescent="0.25">
      <c r="A50" s="14">
        <v>30</v>
      </c>
      <c r="B50" s="252"/>
      <c r="C50" s="252"/>
      <c r="D50" s="251"/>
      <c r="E50" s="251"/>
      <c r="F50" s="252"/>
      <c r="G50" s="252"/>
      <c r="H50" s="251"/>
      <c r="I50" s="251"/>
      <c r="J50" s="323">
        <f t="shared" si="1"/>
        <v>0</v>
      </c>
      <c r="K50" s="324"/>
      <c r="L50" s="343"/>
      <c r="M50" s="15">
        <v>30</v>
      </c>
      <c r="N50" s="260"/>
      <c r="O50" s="260"/>
      <c r="P50" s="259"/>
      <c r="Q50" s="259"/>
      <c r="R50" s="260"/>
      <c r="S50" s="260"/>
      <c r="T50" s="24"/>
      <c r="U50" s="340">
        <f t="shared" si="2"/>
        <v>0</v>
      </c>
      <c r="V50" s="341"/>
      <c r="W50" s="327"/>
      <c r="X50" s="328"/>
    </row>
    <row r="51" spans="1:24" ht="22.5" customHeight="1" x14ac:dyDescent="0.25">
      <c r="A51" s="22">
        <v>31</v>
      </c>
      <c r="B51" s="239"/>
      <c r="C51" s="239"/>
      <c r="D51" s="238"/>
      <c r="E51" s="238"/>
      <c r="F51" s="239"/>
      <c r="G51" s="239"/>
      <c r="H51" s="238"/>
      <c r="I51" s="238"/>
      <c r="J51" s="309">
        <f t="shared" si="1"/>
        <v>0</v>
      </c>
      <c r="K51" s="309"/>
      <c r="L51" s="343"/>
      <c r="M51" s="22">
        <v>31</v>
      </c>
      <c r="N51" s="239"/>
      <c r="O51" s="239"/>
      <c r="P51" s="238"/>
      <c r="Q51" s="238"/>
      <c r="R51" s="239"/>
      <c r="S51" s="239"/>
      <c r="T51" s="23"/>
      <c r="U51" s="256">
        <f t="shared" si="2"/>
        <v>0</v>
      </c>
      <c r="V51" s="257"/>
      <c r="W51" s="327"/>
      <c r="X51" s="328"/>
    </row>
    <row r="52" spans="1:24" ht="22.5" customHeight="1" x14ac:dyDescent="0.25">
      <c r="A52" s="14">
        <v>32</v>
      </c>
      <c r="B52" s="252"/>
      <c r="C52" s="252"/>
      <c r="D52" s="251"/>
      <c r="E52" s="251"/>
      <c r="F52" s="252"/>
      <c r="G52" s="252"/>
      <c r="H52" s="251"/>
      <c r="I52" s="251"/>
      <c r="J52" s="323">
        <f t="shared" si="1"/>
        <v>0</v>
      </c>
      <c r="K52" s="324"/>
      <c r="L52" s="343"/>
      <c r="M52" s="15">
        <v>32</v>
      </c>
      <c r="N52" s="260"/>
      <c r="O52" s="260"/>
      <c r="P52" s="259"/>
      <c r="Q52" s="259"/>
      <c r="R52" s="260"/>
      <c r="S52" s="260"/>
      <c r="T52" s="24"/>
      <c r="U52" s="340">
        <f t="shared" si="2"/>
        <v>0</v>
      </c>
      <c r="V52" s="341"/>
      <c r="W52" s="327"/>
      <c r="X52" s="328"/>
    </row>
    <row r="53" spans="1:24" ht="22.5" customHeight="1" x14ac:dyDescent="0.25">
      <c r="A53" s="22">
        <v>33</v>
      </c>
      <c r="B53" s="239"/>
      <c r="C53" s="239"/>
      <c r="D53" s="238"/>
      <c r="E53" s="238"/>
      <c r="F53" s="239"/>
      <c r="G53" s="239"/>
      <c r="H53" s="238"/>
      <c r="I53" s="238"/>
      <c r="J53" s="309">
        <f t="shared" si="1"/>
        <v>0</v>
      </c>
      <c r="K53" s="309"/>
      <c r="L53" s="343"/>
      <c r="M53" s="22">
        <v>33</v>
      </c>
      <c r="N53" s="239"/>
      <c r="O53" s="239"/>
      <c r="P53" s="238"/>
      <c r="Q53" s="238"/>
      <c r="R53" s="239"/>
      <c r="S53" s="239"/>
      <c r="T53" s="23"/>
      <c r="U53" s="256">
        <f t="shared" si="2"/>
        <v>0</v>
      </c>
      <c r="V53" s="257"/>
      <c r="W53" s="327"/>
      <c r="X53" s="328"/>
    </row>
    <row r="54" spans="1:24" ht="22.5" customHeight="1" x14ac:dyDescent="0.25">
      <c r="A54" s="14">
        <v>34</v>
      </c>
      <c r="B54" s="252"/>
      <c r="C54" s="252"/>
      <c r="D54" s="251"/>
      <c r="E54" s="251"/>
      <c r="F54" s="252"/>
      <c r="G54" s="252"/>
      <c r="H54" s="251"/>
      <c r="I54" s="251"/>
      <c r="J54" s="323">
        <f t="shared" si="1"/>
        <v>0</v>
      </c>
      <c r="K54" s="324"/>
      <c r="L54" s="343"/>
      <c r="M54" s="15">
        <v>34</v>
      </c>
      <c r="N54" s="260"/>
      <c r="O54" s="260"/>
      <c r="P54" s="259"/>
      <c r="Q54" s="259"/>
      <c r="R54" s="260"/>
      <c r="S54" s="260"/>
      <c r="T54" s="24"/>
      <c r="U54" s="340">
        <f t="shared" si="2"/>
        <v>0</v>
      </c>
      <c r="V54" s="341"/>
      <c r="W54"/>
      <c r="X54"/>
    </row>
    <row r="55" spans="1:24" ht="22.5" customHeight="1" x14ac:dyDescent="0.25">
      <c r="A55" s="22">
        <v>35</v>
      </c>
      <c r="B55" s="239"/>
      <c r="C55" s="239"/>
      <c r="D55" s="238"/>
      <c r="E55" s="238"/>
      <c r="F55" s="239"/>
      <c r="G55" s="239"/>
      <c r="H55" s="238"/>
      <c r="I55" s="238"/>
      <c r="J55" s="309">
        <f t="shared" si="1"/>
        <v>0</v>
      </c>
      <c r="K55" s="309"/>
      <c r="L55" s="343"/>
      <c r="M55" s="22">
        <v>35</v>
      </c>
      <c r="N55" s="239"/>
      <c r="O55" s="239"/>
      <c r="P55" s="238"/>
      <c r="Q55" s="238"/>
      <c r="R55" s="239"/>
      <c r="S55" s="239"/>
      <c r="T55" s="23"/>
      <c r="U55" s="256">
        <f t="shared" si="2"/>
        <v>0</v>
      </c>
      <c r="V55" s="257"/>
      <c r="W55"/>
      <c r="X55"/>
    </row>
    <row r="56" spans="1:24" ht="22.5" customHeight="1" x14ac:dyDescent="0.25">
      <c r="A56" s="14">
        <v>36</v>
      </c>
      <c r="B56" s="252"/>
      <c r="C56" s="252"/>
      <c r="D56" s="251"/>
      <c r="E56" s="251"/>
      <c r="F56" s="252"/>
      <c r="G56" s="252"/>
      <c r="H56" s="251"/>
      <c r="I56" s="251"/>
      <c r="J56" s="323">
        <f t="shared" si="1"/>
        <v>0</v>
      </c>
      <c r="K56" s="324"/>
      <c r="L56" s="343"/>
      <c r="M56" s="15">
        <v>36</v>
      </c>
      <c r="N56" s="260"/>
      <c r="O56" s="260"/>
      <c r="P56" s="259"/>
      <c r="Q56" s="259"/>
      <c r="R56" s="260"/>
      <c r="S56" s="260"/>
      <c r="T56" s="24"/>
      <c r="U56" s="340">
        <f t="shared" si="2"/>
        <v>0</v>
      </c>
      <c r="V56" s="341"/>
      <c r="W56"/>
      <c r="X56"/>
    </row>
    <row r="57" spans="1:24" ht="22.5" customHeight="1" x14ac:dyDescent="0.25">
      <c r="A57" s="22">
        <v>37</v>
      </c>
      <c r="B57" s="239"/>
      <c r="C57" s="239"/>
      <c r="D57" s="238"/>
      <c r="E57" s="238"/>
      <c r="F57" s="239"/>
      <c r="G57" s="239"/>
      <c r="H57" s="238"/>
      <c r="I57" s="238"/>
      <c r="J57" s="309">
        <f t="shared" si="1"/>
        <v>0</v>
      </c>
      <c r="K57" s="309"/>
      <c r="L57" s="343"/>
      <c r="M57" s="22">
        <v>37</v>
      </c>
      <c r="N57" s="239"/>
      <c r="O57" s="239"/>
      <c r="P57" s="238"/>
      <c r="Q57" s="238"/>
      <c r="R57" s="239"/>
      <c r="S57" s="239"/>
      <c r="T57" s="23"/>
      <c r="U57" s="256">
        <f t="shared" si="2"/>
        <v>0</v>
      </c>
      <c r="V57" s="257"/>
      <c r="W57"/>
      <c r="X57"/>
    </row>
    <row r="58" spans="1:24" ht="22.5" customHeight="1" x14ac:dyDescent="0.25">
      <c r="A58" s="14">
        <v>38</v>
      </c>
      <c r="B58" s="252"/>
      <c r="C58" s="252"/>
      <c r="D58" s="251"/>
      <c r="E58" s="251"/>
      <c r="F58" s="252"/>
      <c r="G58" s="252"/>
      <c r="H58" s="251"/>
      <c r="I58" s="251"/>
      <c r="J58" s="323">
        <f t="shared" si="1"/>
        <v>0</v>
      </c>
      <c r="K58" s="324"/>
      <c r="L58" s="343"/>
      <c r="M58" s="15">
        <v>38</v>
      </c>
      <c r="N58" s="260"/>
      <c r="O58" s="260"/>
      <c r="P58" s="259"/>
      <c r="Q58" s="259"/>
      <c r="R58" s="260"/>
      <c r="S58" s="260"/>
      <c r="T58" s="24"/>
      <c r="U58" s="340">
        <f t="shared" si="2"/>
        <v>0</v>
      </c>
      <c r="V58" s="341"/>
      <c r="W58"/>
      <c r="X58"/>
    </row>
    <row r="59" spans="1:24" ht="22.5" customHeight="1" x14ac:dyDescent="0.25">
      <c r="A59" s="22">
        <v>39</v>
      </c>
      <c r="B59" s="239"/>
      <c r="C59" s="239"/>
      <c r="D59" s="238"/>
      <c r="E59" s="238"/>
      <c r="F59" s="239"/>
      <c r="G59" s="239"/>
      <c r="H59" s="238"/>
      <c r="I59" s="238"/>
      <c r="J59" s="309">
        <f t="shared" si="1"/>
        <v>0</v>
      </c>
      <c r="K59" s="309"/>
      <c r="L59" s="343"/>
      <c r="M59" s="22">
        <v>39</v>
      </c>
      <c r="N59" s="239"/>
      <c r="O59" s="239"/>
      <c r="P59" s="238"/>
      <c r="Q59" s="238"/>
      <c r="R59" s="239"/>
      <c r="S59" s="239"/>
      <c r="T59" s="23"/>
      <c r="U59" s="256">
        <f t="shared" si="2"/>
        <v>0</v>
      </c>
      <c r="V59" s="257"/>
      <c r="W59"/>
      <c r="X59"/>
    </row>
    <row r="60" spans="1:24" ht="22.5" customHeight="1" x14ac:dyDescent="0.25">
      <c r="A60" s="14">
        <v>40</v>
      </c>
      <c r="B60" s="252"/>
      <c r="C60" s="252"/>
      <c r="D60" s="251"/>
      <c r="E60" s="251"/>
      <c r="F60" s="252"/>
      <c r="G60" s="252"/>
      <c r="H60" s="251"/>
      <c r="I60" s="251"/>
      <c r="J60" s="323">
        <f t="shared" si="1"/>
        <v>0</v>
      </c>
      <c r="K60" s="324"/>
      <c r="L60" s="343"/>
      <c r="M60" s="15">
        <v>40</v>
      </c>
      <c r="N60" s="260"/>
      <c r="O60" s="260"/>
      <c r="P60" s="259"/>
      <c r="Q60" s="259"/>
      <c r="R60" s="260"/>
      <c r="S60" s="260"/>
      <c r="T60" s="24"/>
      <c r="U60" s="340">
        <f t="shared" si="2"/>
        <v>0</v>
      </c>
      <c r="V60" s="341"/>
      <c r="W60"/>
      <c r="X60"/>
    </row>
    <row r="61" spans="1:24" ht="22.5" customHeight="1" x14ac:dyDescent="0.25">
      <c r="A61" s="22">
        <v>41</v>
      </c>
      <c r="B61" s="239"/>
      <c r="C61" s="239"/>
      <c r="D61" s="238"/>
      <c r="E61" s="238"/>
      <c r="F61" s="239"/>
      <c r="G61" s="239"/>
      <c r="H61" s="238"/>
      <c r="I61" s="238"/>
      <c r="J61" s="309">
        <f t="shared" si="1"/>
        <v>0</v>
      </c>
      <c r="K61" s="309"/>
      <c r="L61" s="343"/>
      <c r="M61" s="22">
        <v>41</v>
      </c>
      <c r="N61" s="239"/>
      <c r="O61" s="239"/>
      <c r="P61" s="238"/>
      <c r="Q61" s="238"/>
      <c r="R61" s="239"/>
      <c r="S61" s="239"/>
      <c r="T61" s="23"/>
      <c r="U61" s="256">
        <f t="shared" si="2"/>
        <v>0</v>
      </c>
      <c r="V61" s="257"/>
      <c r="W61"/>
      <c r="X61"/>
    </row>
    <row r="62" spans="1:24" ht="22.5" customHeight="1" x14ac:dyDescent="0.25">
      <c r="A62" s="14">
        <v>42</v>
      </c>
      <c r="B62" s="252"/>
      <c r="C62" s="252"/>
      <c r="D62" s="251"/>
      <c r="E62" s="251"/>
      <c r="F62" s="252"/>
      <c r="G62" s="252"/>
      <c r="H62" s="251"/>
      <c r="I62" s="251"/>
      <c r="J62" s="323">
        <f t="shared" si="1"/>
        <v>0</v>
      </c>
      <c r="K62" s="324"/>
      <c r="L62" s="343"/>
      <c r="M62" s="15">
        <v>42</v>
      </c>
      <c r="N62" s="260"/>
      <c r="O62" s="260"/>
      <c r="P62" s="259"/>
      <c r="Q62" s="259"/>
      <c r="R62" s="260"/>
      <c r="S62" s="260"/>
      <c r="T62" s="24"/>
      <c r="U62" s="340">
        <f t="shared" si="2"/>
        <v>0</v>
      </c>
      <c r="V62" s="341"/>
      <c r="W62"/>
      <c r="X62"/>
    </row>
    <row r="63" spans="1:24" ht="22.5" customHeight="1" x14ac:dyDescent="0.25">
      <c r="A63" s="22">
        <v>43</v>
      </c>
      <c r="B63" s="239"/>
      <c r="C63" s="239"/>
      <c r="D63" s="238"/>
      <c r="E63" s="238"/>
      <c r="F63" s="239"/>
      <c r="G63" s="239"/>
      <c r="H63" s="238"/>
      <c r="I63" s="238"/>
      <c r="J63" s="309">
        <f t="shared" si="1"/>
        <v>0</v>
      </c>
      <c r="K63" s="309"/>
      <c r="L63" s="343"/>
      <c r="M63" s="22">
        <v>43</v>
      </c>
      <c r="N63" s="239"/>
      <c r="O63" s="239"/>
      <c r="P63" s="238"/>
      <c r="Q63" s="238"/>
      <c r="R63" s="239"/>
      <c r="S63" s="239"/>
      <c r="T63" s="23"/>
      <c r="U63" s="256">
        <f t="shared" si="2"/>
        <v>0</v>
      </c>
      <c r="V63" s="257"/>
      <c r="W63"/>
      <c r="X63"/>
    </row>
    <row r="64" spans="1:24" ht="22.5" customHeight="1" x14ac:dyDescent="0.25">
      <c r="A64" s="14">
        <v>44</v>
      </c>
      <c r="B64" s="252"/>
      <c r="C64" s="252"/>
      <c r="D64" s="251"/>
      <c r="E64" s="251"/>
      <c r="F64" s="252"/>
      <c r="G64" s="252"/>
      <c r="H64" s="251"/>
      <c r="I64" s="251"/>
      <c r="J64" s="323">
        <f t="shared" si="1"/>
        <v>0</v>
      </c>
      <c r="K64" s="324"/>
      <c r="L64" s="343"/>
      <c r="M64" s="15">
        <v>44</v>
      </c>
      <c r="N64" s="260"/>
      <c r="O64" s="260"/>
      <c r="P64" s="259"/>
      <c r="Q64" s="259"/>
      <c r="R64" s="260"/>
      <c r="S64" s="260"/>
      <c r="T64" s="24"/>
      <c r="U64" s="340">
        <f t="shared" si="2"/>
        <v>0</v>
      </c>
      <c r="V64" s="341"/>
      <c r="W64"/>
      <c r="X64"/>
    </row>
    <row r="65" spans="1:24" ht="22.5" customHeight="1" x14ac:dyDescent="0.25">
      <c r="A65" s="22">
        <v>45</v>
      </c>
      <c r="B65" s="239"/>
      <c r="C65" s="239"/>
      <c r="D65" s="238"/>
      <c r="E65" s="238"/>
      <c r="F65" s="239"/>
      <c r="G65" s="239"/>
      <c r="H65" s="238"/>
      <c r="I65" s="238"/>
      <c r="J65" s="309">
        <f t="shared" si="1"/>
        <v>0</v>
      </c>
      <c r="K65" s="309"/>
      <c r="L65" s="343"/>
      <c r="M65" s="22">
        <v>45</v>
      </c>
      <c r="N65" s="239"/>
      <c r="O65" s="239"/>
      <c r="P65" s="238"/>
      <c r="Q65" s="238"/>
      <c r="R65" s="239"/>
      <c r="S65" s="239"/>
      <c r="T65" s="23"/>
      <c r="U65" s="256">
        <f t="shared" si="2"/>
        <v>0</v>
      </c>
      <c r="V65" s="257"/>
      <c r="W65"/>
      <c r="X65"/>
    </row>
    <row r="66" spans="1:24" ht="22.5" customHeight="1" x14ac:dyDescent="0.25">
      <c r="A66" s="14">
        <v>46</v>
      </c>
      <c r="B66" s="252"/>
      <c r="C66" s="252"/>
      <c r="D66" s="251"/>
      <c r="E66" s="251"/>
      <c r="F66" s="252"/>
      <c r="G66" s="252"/>
      <c r="H66" s="251"/>
      <c r="I66" s="251"/>
      <c r="J66" s="323">
        <f t="shared" si="1"/>
        <v>0</v>
      </c>
      <c r="K66" s="324"/>
      <c r="L66" s="343"/>
      <c r="M66" s="15">
        <v>46</v>
      </c>
      <c r="N66" s="260"/>
      <c r="O66" s="260"/>
      <c r="P66" s="259"/>
      <c r="Q66" s="259"/>
      <c r="R66" s="260"/>
      <c r="S66" s="260"/>
      <c r="T66" s="24"/>
      <c r="U66" s="340">
        <f t="shared" si="2"/>
        <v>0</v>
      </c>
      <c r="V66" s="341"/>
      <c r="W66"/>
      <c r="X66"/>
    </row>
    <row r="67" spans="1:24" ht="22.5" customHeight="1" x14ac:dyDescent="0.25">
      <c r="A67" s="22">
        <v>47</v>
      </c>
      <c r="B67" s="239"/>
      <c r="C67" s="239"/>
      <c r="D67" s="238"/>
      <c r="E67" s="238"/>
      <c r="F67" s="239"/>
      <c r="G67" s="239"/>
      <c r="H67" s="238"/>
      <c r="I67" s="238"/>
      <c r="J67" s="309">
        <f t="shared" si="1"/>
        <v>0</v>
      </c>
      <c r="K67" s="309"/>
      <c r="L67" s="343"/>
      <c r="M67" s="22">
        <v>47</v>
      </c>
      <c r="N67" s="239"/>
      <c r="O67" s="239"/>
      <c r="P67" s="238"/>
      <c r="Q67" s="238"/>
      <c r="R67" s="239"/>
      <c r="S67" s="239"/>
      <c r="T67" s="23"/>
      <c r="U67" s="256">
        <f t="shared" si="2"/>
        <v>0</v>
      </c>
      <c r="V67" s="257"/>
      <c r="W67"/>
      <c r="X67"/>
    </row>
    <row r="68" spans="1:24" ht="22.5" customHeight="1" x14ac:dyDescent="0.25">
      <c r="A68" s="14">
        <v>48</v>
      </c>
      <c r="B68" s="252"/>
      <c r="C68" s="252"/>
      <c r="D68" s="251"/>
      <c r="E68" s="251"/>
      <c r="F68" s="252"/>
      <c r="G68" s="252"/>
      <c r="H68" s="251"/>
      <c r="I68" s="251"/>
      <c r="J68" s="323">
        <f t="shared" si="1"/>
        <v>0</v>
      </c>
      <c r="K68" s="324"/>
      <c r="L68" s="343"/>
      <c r="M68" s="15">
        <v>48</v>
      </c>
      <c r="N68" s="260"/>
      <c r="O68" s="260"/>
      <c r="P68" s="259"/>
      <c r="Q68" s="259"/>
      <c r="R68" s="260"/>
      <c r="S68" s="260"/>
      <c r="T68" s="24"/>
      <c r="U68" s="340">
        <f t="shared" si="2"/>
        <v>0</v>
      </c>
      <c r="V68" s="341"/>
      <c r="W68"/>
      <c r="X68"/>
    </row>
    <row r="69" spans="1:24" ht="22.5" customHeight="1" x14ac:dyDescent="0.25">
      <c r="A69" s="22">
        <v>49</v>
      </c>
      <c r="B69" s="239"/>
      <c r="C69" s="239"/>
      <c r="D69" s="238"/>
      <c r="E69" s="238"/>
      <c r="F69" s="239"/>
      <c r="G69" s="239"/>
      <c r="H69" s="238"/>
      <c r="I69" s="238"/>
      <c r="J69" s="309">
        <f t="shared" si="1"/>
        <v>0</v>
      </c>
      <c r="K69" s="309"/>
      <c r="L69" s="343"/>
      <c r="M69" s="22">
        <v>49</v>
      </c>
      <c r="N69" s="239"/>
      <c r="O69" s="239"/>
      <c r="P69" s="238"/>
      <c r="Q69" s="238"/>
      <c r="R69" s="239"/>
      <c r="S69" s="239"/>
      <c r="T69" s="23"/>
      <c r="U69" s="256">
        <f t="shared" si="2"/>
        <v>0</v>
      </c>
      <c r="V69" s="257"/>
      <c r="W69"/>
      <c r="X69"/>
    </row>
    <row r="70" spans="1:24" ht="22.5" customHeight="1" x14ac:dyDescent="0.25">
      <c r="A70" s="14">
        <v>50</v>
      </c>
      <c r="B70" s="252"/>
      <c r="C70" s="252"/>
      <c r="D70" s="251"/>
      <c r="E70" s="251"/>
      <c r="F70" s="252"/>
      <c r="G70" s="252"/>
      <c r="H70" s="251"/>
      <c r="I70" s="251"/>
      <c r="J70" s="323">
        <f t="shared" si="1"/>
        <v>0</v>
      </c>
      <c r="K70" s="324"/>
      <c r="L70" s="343"/>
      <c r="M70" s="15">
        <v>50</v>
      </c>
      <c r="N70" s="260"/>
      <c r="O70" s="260"/>
      <c r="P70" s="259"/>
      <c r="Q70" s="259"/>
      <c r="R70" s="260"/>
      <c r="S70" s="260"/>
      <c r="T70" s="24"/>
      <c r="U70" s="340">
        <f t="shared" si="2"/>
        <v>0</v>
      </c>
      <c r="V70" s="341"/>
      <c r="W70"/>
      <c r="X70"/>
    </row>
    <row r="71" spans="1:24" ht="22.5" customHeight="1" x14ac:dyDescent="0.25">
      <c r="A71" s="22">
        <v>51</v>
      </c>
      <c r="B71" s="239"/>
      <c r="C71" s="239"/>
      <c r="D71" s="238"/>
      <c r="E71" s="238"/>
      <c r="F71" s="239"/>
      <c r="G71" s="239"/>
      <c r="H71" s="238"/>
      <c r="I71" s="238"/>
      <c r="J71" s="309">
        <f t="shared" si="1"/>
        <v>0</v>
      </c>
      <c r="K71" s="309"/>
      <c r="L71" s="343"/>
      <c r="M71" s="22">
        <v>51</v>
      </c>
      <c r="N71" s="239"/>
      <c r="O71" s="239"/>
      <c r="P71" s="238"/>
      <c r="Q71" s="238"/>
      <c r="R71" s="239"/>
      <c r="S71" s="239"/>
      <c r="T71" s="23"/>
      <c r="U71" s="256">
        <f t="shared" si="2"/>
        <v>0</v>
      </c>
      <c r="V71" s="257"/>
      <c r="W71"/>
      <c r="X71"/>
    </row>
    <row r="72" spans="1:24" ht="22.5" customHeight="1" x14ac:dyDescent="0.25">
      <c r="A72" s="14">
        <v>52</v>
      </c>
      <c r="B72" s="252"/>
      <c r="C72" s="252"/>
      <c r="D72" s="251"/>
      <c r="E72" s="251"/>
      <c r="F72" s="252"/>
      <c r="G72" s="252"/>
      <c r="H72" s="251"/>
      <c r="I72" s="251"/>
      <c r="J72" s="323">
        <f t="shared" si="1"/>
        <v>0</v>
      </c>
      <c r="K72" s="324"/>
      <c r="L72" s="343"/>
      <c r="M72" s="15">
        <v>52</v>
      </c>
      <c r="N72" s="260"/>
      <c r="O72" s="260"/>
      <c r="P72" s="259"/>
      <c r="Q72" s="259"/>
      <c r="R72" s="260"/>
      <c r="S72" s="260"/>
      <c r="T72" s="24"/>
      <c r="U72" s="340">
        <f t="shared" si="2"/>
        <v>0</v>
      </c>
      <c r="V72" s="341"/>
      <c r="W72"/>
      <c r="X72"/>
    </row>
    <row r="73" spans="1:24" ht="22.5" customHeight="1" x14ac:dyDescent="0.25">
      <c r="A73" s="22">
        <v>53</v>
      </c>
      <c r="B73" s="239"/>
      <c r="C73" s="239"/>
      <c r="D73" s="238"/>
      <c r="E73" s="238"/>
      <c r="F73" s="239"/>
      <c r="G73" s="239"/>
      <c r="H73" s="238"/>
      <c r="I73" s="238"/>
      <c r="J73" s="309">
        <f t="shared" si="1"/>
        <v>0</v>
      </c>
      <c r="K73" s="309"/>
      <c r="L73" s="343"/>
      <c r="M73" s="22">
        <v>53</v>
      </c>
      <c r="N73" s="239"/>
      <c r="O73" s="239"/>
      <c r="P73" s="238"/>
      <c r="Q73" s="238"/>
      <c r="R73" s="239"/>
      <c r="S73" s="239"/>
      <c r="T73" s="23"/>
      <c r="U73" s="256">
        <f t="shared" si="2"/>
        <v>0</v>
      </c>
      <c r="V73" s="257"/>
      <c r="W73"/>
      <c r="X73"/>
    </row>
    <row r="74" spans="1:24" ht="22.5" customHeight="1" x14ac:dyDescent="0.25">
      <c r="A74" s="14">
        <v>54</v>
      </c>
      <c r="B74" s="252"/>
      <c r="C74" s="252"/>
      <c r="D74" s="251"/>
      <c r="E74" s="251"/>
      <c r="F74" s="252"/>
      <c r="G74" s="252"/>
      <c r="H74" s="251"/>
      <c r="I74" s="251"/>
      <c r="J74" s="323">
        <f t="shared" si="1"/>
        <v>0</v>
      </c>
      <c r="K74" s="324"/>
      <c r="L74" s="343"/>
      <c r="M74" s="15">
        <v>54</v>
      </c>
      <c r="N74" s="260"/>
      <c r="O74" s="260"/>
      <c r="P74" s="259"/>
      <c r="Q74" s="259"/>
      <c r="R74" s="260"/>
      <c r="S74" s="260"/>
      <c r="T74" s="24"/>
      <c r="U74" s="340">
        <f t="shared" si="2"/>
        <v>0</v>
      </c>
      <c r="V74" s="341"/>
      <c r="W74"/>
      <c r="X74"/>
    </row>
    <row r="75" spans="1:24" ht="22.5" customHeight="1" x14ac:dyDescent="0.25">
      <c r="A75" s="22">
        <v>55</v>
      </c>
      <c r="B75" s="239"/>
      <c r="C75" s="239"/>
      <c r="D75" s="238"/>
      <c r="E75" s="238"/>
      <c r="F75" s="239"/>
      <c r="G75" s="239"/>
      <c r="H75" s="238"/>
      <c r="I75" s="238"/>
      <c r="J75" s="309">
        <f t="shared" si="1"/>
        <v>0</v>
      </c>
      <c r="K75" s="309"/>
      <c r="L75" s="343"/>
      <c r="M75" s="22">
        <v>55</v>
      </c>
      <c r="N75" s="239"/>
      <c r="O75" s="239"/>
      <c r="P75" s="238"/>
      <c r="Q75" s="238"/>
      <c r="R75" s="239"/>
      <c r="S75" s="239"/>
      <c r="T75" s="23"/>
      <c r="U75" s="256">
        <f t="shared" si="2"/>
        <v>0</v>
      </c>
      <c r="V75" s="257"/>
      <c r="W75"/>
      <c r="X75"/>
    </row>
    <row r="76" spans="1:24" ht="22.5" customHeight="1" x14ac:dyDescent="0.25">
      <c r="A76" s="14">
        <v>56</v>
      </c>
      <c r="B76" s="252"/>
      <c r="C76" s="252"/>
      <c r="D76" s="251"/>
      <c r="E76" s="251"/>
      <c r="F76" s="252"/>
      <c r="G76" s="252"/>
      <c r="H76" s="251"/>
      <c r="I76" s="251"/>
      <c r="J76" s="323">
        <f t="shared" si="1"/>
        <v>0</v>
      </c>
      <c r="K76" s="324"/>
      <c r="L76" s="343"/>
      <c r="M76" s="15">
        <v>56</v>
      </c>
      <c r="N76" s="260"/>
      <c r="O76" s="260"/>
      <c r="P76" s="259"/>
      <c r="Q76" s="259"/>
      <c r="R76" s="260"/>
      <c r="S76" s="260"/>
      <c r="T76" s="24"/>
      <c r="U76" s="340">
        <f t="shared" si="2"/>
        <v>0</v>
      </c>
      <c r="V76" s="341"/>
      <c r="W76"/>
      <c r="X76"/>
    </row>
    <row r="77" spans="1:24" ht="22.5" customHeight="1" x14ac:dyDescent="0.25">
      <c r="A77" s="22">
        <v>57</v>
      </c>
      <c r="B77" s="239"/>
      <c r="C77" s="239"/>
      <c r="D77" s="238"/>
      <c r="E77" s="238"/>
      <c r="F77" s="239"/>
      <c r="G77" s="239"/>
      <c r="H77" s="238"/>
      <c r="I77" s="238"/>
      <c r="J77" s="309">
        <f t="shared" si="1"/>
        <v>0</v>
      </c>
      <c r="K77" s="309"/>
      <c r="L77" s="343"/>
      <c r="M77" s="22">
        <v>57</v>
      </c>
      <c r="N77" s="239"/>
      <c r="O77" s="239"/>
      <c r="P77" s="238"/>
      <c r="Q77" s="238"/>
      <c r="R77" s="239"/>
      <c r="S77" s="239"/>
      <c r="T77" s="23"/>
      <c r="U77" s="256">
        <f t="shared" si="2"/>
        <v>0</v>
      </c>
      <c r="V77" s="257"/>
      <c r="W77"/>
      <c r="X77"/>
    </row>
    <row r="78" spans="1:24" ht="22.5" customHeight="1" x14ac:dyDescent="0.25">
      <c r="A78" s="14">
        <v>58</v>
      </c>
      <c r="B78" s="252"/>
      <c r="C78" s="252"/>
      <c r="D78" s="251"/>
      <c r="E78" s="251"/>
      <c r="F78" s="252"/>
      <c r="G78" s="252"/>
      <c r="H78" s="251"/>
      <c r="I78" s="251"/>
      <c r="J78" s="323">
        <f t="shared" si="1"/>
        <v>0</v>
      </c>
      <c r="K78" s="324"/>
      <c r="L78" s="343"/>
      <c r="M78" s="15">
        <v>58</v>
      </c>
      <c r="N78" s="260"/>
      <c r="O78" s="260"/>
      <c r="P78" s="259"/>
      <c r="Q78" s="259"/>
      <c r="R78" s="260"/>
      <c r="S78" s="260"/>
      <c r="T78" s="24"/>
      <c r="U78" s="340">
        <f t="shared" si="2"/>
        <v>0</v>
      </c>
      <c r="V78" s="341"/>
      <c r="W78"/>
      <c r="X78"/>
    </row>
    <row r="79" spans="1:24" ht="22.5" customHeight="1" x14ac:dyDescent="0.25">
      <c r="A79" s="22">
        <v>59</v>
      </c>
      <c r="B79" s="239"/>
      <c r="C79" s="239"/>
      <c r="D79" s="238"/>
      <c r="E79" s="238"/>
      <c r="F79" s="239"/>
      <c r="G79" s="239"/>
      <c r="H79" s="238"/>
      <c r="I79" s="238"/>
      <c r="J79" s="309">
        <f t="shared" si="1"/>
        <v>0</v>
      </c>
      <c r="K79" s="309"/>
      <c r="L79" s="343"/>
      <c r="M79" s="22">
        <v>59</v>
      </c>
      <c r="N79" s="239"/>
      <c r="O79" s="239"/>
      <c r="P79" s="238"/>
      <c r="Q79" s="238"/>
      <c r="R79" s="239"/>
      <c r="S79" s="239"/>
      <c r="T79" s="23"/>
      <c r="U79" s="256">
        <f t="shared" si="2"/>
        <v>0</v>
      </c>
      <c r="V79" s="257"/>
      <c r="W79"/>
      <c r="X79"/>
    </row>
    <row r="80" spans="1:24" ht="22.5" customHeight="1" x14ac:dyDescent="0.25">
      <c r="A80" s="14">
        <v>60</v>
      </c>
      <c r="B80" s="252"/>
      <c r="C80" s="252"/>
      <c r="D80" s="251"/>
      <c r="E80" s="251"/>
      <c r="F80" s="252"/>
      <c r="G80" s="252"/>
      <c r="H80" s="251"/>
      <c r="I80" s="251"/>
      <c r="J80" s="323">
        <f t="shared" si="1"/>
        <v>0</v>
      </c>
      <c r="K80" s="324"/>
      <c r="L80" s="343"/>
      <c r="M80" s="15">
        <v>60</v>
      </c>
      <c r="N80" s="260"/>
      <c r="O80" s="260"/>
      <c r="P80" s="259"/>
      <c r="Q80" s="259"/>
      <c r="R80" s="260"/>
      <c r="S80" s="260"/>
      <c r="T80" s="24"/>
      <c r="U80" s="340">
        <f t="shared" si="2"/>
        <v>0</v>
      </c>
      <c r="V80" s="341"/>
      <c r="W80"/>
      <c r="X80"/>
    </row>
    <row r="81" spans="1:24" ht="22.5" customHeight="1" x14ac:dyDescent="0.25">
      <c r="A81" s="22">
        <v>61</v>
      </c>
      <c r="B81" s="239"/>
      <c r="C81" s="239"/>
      <c r="D81" s="238"/>
      <c r="E81" s="238"/>
      <c r="F81" s="239"/>
      <c r="G81" s="239"/>
      <c r="H81" s="238"/>
      <c r="I81" s="238"/>
      <c r="J81" s="309">
        <f t="shared" si="1"/>
        <v>0</v>
      </c>
      <c r="K81" s="309"/>
      <c r="L81" s="343"/>
      <c r="M81" s="22">
        <v>61</v>
      </c>
      <c r="N81" s="239"/>
      <c r="O81" s="239"/>
      <c r="P81" s="238"/>
      <c r="Q81" s="238"/>
      <c r="R81" s="239"/>
      <c r="S81" s="239"/>
      <c r="T81" s="23"/>
      <c r="U81" s="256">
        <f t="shared" si="2"/>
        <v>0</v>
      </c>
      <c r="V81" s="257"/>
      <c r="W81"/>
      <c r="X81"/>
    </row>
    <row r="82" spans="1:24" ht="22.5" customHeight="1" x14ac:dyDescent="0.25">
      <c r="A82" s="14">
        <v>62</v>
      </c>
      <c r="B82" s="252"/>
      <c r="C82" s="252"/>
      <c r="D82" s="251"/>
      <c r="E82" s="251"/>
      <c r="F82" s="252"/>
      <c r="G82" s="252"/>
      <c r="H82" s="251"/>
      <c r="I82" s="251"/>
      <c r="J82" s="323">
        <f t="shared" si="1"/>
        <v>0</v>
      </c>
      <c r="K82" s="324"/>
      <c r="L82" s="343"/>
      <c r="M82" s="15">
        <v>62</v>
      </c>
      <c r="N82" s="260"/>
      <c r="O82" s="260"/>
      <c r="P82" s="259"/>
      <c r="Q82" s="259"/>
      <c r="R82" s="260"/>
      <c r="S82" s="260"/>
      <c r="T82" s="24"/>
      <c r="U82" s="340">
        <f t="shared" si="2"/>
        <v>0</v>
      </c>
      <c r="V82" s="341"/>
      <c r="W82"/>
      <c r="X82"/>
    </row>
    <row r="83" spans="1:24" ht="22.5" customHeight="1" x14ac:dyDescent="0.25">
      <c r="A83" s="22">
        <v>63</v>
      </c>
      <c r="B83" s="239"/>
      <c r="C83" s="239"/>
      <c r="D83" s="238"/>
      <c r="E83" s="238"/>
      <c r="F83" s="239"/>
      <c r="G83" s="239"/>
      <c r="H83" s="238"/>
      <c r="I83" s="238"/>
      <c r="J83" s="309">
        <f t="shared" si="1"/>
        <v>0</v>
      </c>
      <c r="K83" s="309"/>
      <c r="L83" s="343"/>
      <c r="M83" s="22">
        <v>63</v>
      </c>
      <c r="N83" s="239"/>
      <c r="O83" s="239"/>
      <c r="P83" s="238"/>
      <c r="Q83" s="238"/>
      <c r="R83" s="239"/>
      <c r="S83" s="239"/>
      <c r="T83" s="23"/>
      <c r="U83" s="256">
        <f t="shared" si="2"/>
        <v>0</v>
      </c>
      <c r="V83" s="257"/>
      <c r="W83"/>
      <c r="X83"/>
    </row>
    <row r="84" spans="1:24" ht="22.5" customHeight="1" x14ac:dyDescent="0.25">
      <c r="A84" s="14">
        <v>64</v>
      </c>
      <c r="B84" s="252"/>
      <c r="C84" s="252"/>
      <c r="D84" s="251"/>
      <c r="E84" s="251"/>
      <c r="F84" s="252"/>
      <c r="G84" s="252"/>
      <c r="H84" s="251"/>
      <c r="I84" s="251"/>
      <c r="J84" s="323">
        <f t="shared" si="1"/>
        <v>0</v>
      </c>
      <c r="K84" s="324"/>
      <c r="L84" s="343"/>
      <c r="M84" s="15">
        <v>64</v>
      </c>
      <c r="N84" s="260"/>
      <c r="O84" s="260"/>
      <c r="P84" s="259"/>
      <c r="Q84" s="259"/>
      <c r="R84" s="260"/>
      <c r="S84" s="260"/>
      <c r="T84" s="24"/>
      <c r="U84" s="340">
        <f t="shared" si="2"/>
        <v>0</v>
      </c>
      <c r="V84" s="341"/>
      <c r="W84"/>
      <c r="X84"/>
    </row>
    <row r="85" spans="1:24" ht="22.5" customHeight="1" x14ac:dyDescent="0.25">
      <c r="A85" s="22">
        <v>65</v>
      </c>
      <c r="B85" s="239"/>
      <c r="C85" s="239"/>
      <c r="D85" s="238"/>
      <c r="E85" s="238"/>
      <c r="F85" s="239"/>
      <c r="G85" s="239"/>
      <c r="H85" s="238"/>
      <c r="I85" s="238"/>
      <c r="J85" s="309">
        <f t="shared" si="1"/>
        <v>0</v>
      </c>
      <c r="K85" s="309"/>
      <c r="L85" s="343"/>
      <c r="M85" s="22">
        <v>65</v>
      </c>
      <c r="N85" s="239"/>
      <c r="O85" s="239"/>
      <c r="P85" s="238"/>
      <c r="Q85" s="238"/>
      <c r="R85" s="239"/>
      <c r="S85" s="239"/>
      <c r="T85" s="23"/>
      <c r="U85" s="256">
        <f t="shared" si="2"/>
        <v>0</v>
      </c>
      <c r="V85" s="257"/>
      <c r="W85"/>
      <c r="X85"/>
    </row>
    <row r="86" spans="1:24" ht="22.5" customHeight="1" x14ac:dyDescent="0.25">
      <c r="A86" s="14">
        <v>66</v>
      </c>
      <c r="B86" s="252"/>
      <c r="C86" s="252"/>
      <c r="D86" s="251"/>
      <c r="E86" s="251"/>
      <c r="F86" s="252"/>
      <c r="G86" s="252"/>
      <c r="H86" s="251"/>
      <c r="I86" s="251"/>
      <c r="J86" s="323">
        <f t="shared" ref="J86:J149" si="5">D86*F86+H86</f>
        <v>0</v>
      </c>
      <c r="K86" s="324"/>
      <c r="L86" s="343"/>
      <c r="M86" s="15">
        <v>66</v>
      </c>
      <c r="N86" s="260"/>
      <c r="O86" s="260"/>
      <c r="P86" s="259"/>
      <c r="Q86" s="259"/>
      <c r="R86" s="260"/>
      <c r="S86" s="260"/>
      <c r="T86" s="24"/>
      <c r="U86" s="340">
        <f t="shared" si="2"/>
        <v>0</v>
      </c>
      <c r="V86" s="341"/>
      <c r="W86"/>
      <c r="X86"/>
    </row>
    <row r="87" spans="1:24" ht="22.5" customHeight="1" x14ac:dyDescent="0.25">
      <c r="A87" s="22">
        <v>67</v>
      </c>
      <c r="B87" s="239"/>
      <c r="C87" s="239"/>
      <c r="D87" s="238"/>
      <c r="E87" s="238"/>
      <c r="F87" s="239"/>
      <c r="G87" s="239"/>
      <c r="H87" s="238"/>
      <c r="I87" s="238"/>
      <c r="J87" s="309">
        <f t="shared" si="5"/>
        <v>0</v>
      </c>
      <c r="K87" s="309"/>
      <c r="L87" s="343"/>
      <c r="M87" s="22">
        <v>67</v>
      </c>
      <c r="N87" s="239"/>
      <c r="O87" s="239"/>
      <c r="P87" s="238"/>
      <c r="Q87" s="238"/>
      <c r="R87" s="239"/>
      <c r="S87" s="239"/>
      <c r="T87" s="23"/>
      <c r="U87" s="256">
        <f t="shared" ref="U87:U150" si="6">P87+R87</f>
        <v>0</v>
      </c>
      <c r="V87" s="257"/>
      <c r="W87"/>
      <c r="X87"/>
    </row>
    <row r="88" spans="1:24" ht="22.5" customHeight="1" x14ac:dyDescent="0.25">
      <c r="A88" s="14">
        <v>68</v>
      </c>
      <c r="B88" s="252"/>
      <c r="C88" s="252"/>
      <c r="D88" s="251"/>
      <c r="E88" s="251"/>
      <c r="F88" s="252"/>
      <c r="G88" s="252"/>
      <c r="H88" s="251"/>
      <c r="I88" s="251"/>
      <c r="J88" s="323">
        <f t="shared" si="5"/>
        <v>0</v>
      </c>
      <c r="K88" s="324"/>
      <c r="L88" s="343"/>
      <c r="M88" s="15">
        <v>68</v>
      </c>
      <c r="N88" s="260"/>
      <c r="O88" s="260"/>
      <c r="P88" s="259"/>
      <c r="Q88" s="259"/>
      <c r="R88" s="260"/>
      <c r="S88" s="260"/>
      <c r="T88" s="24"/>
      <c r="U88" s="340">
        <f t="shared" si="6"/>
        <v>0</v>
      </c>
      <c r="V88" s="341"/>
      <c r="W88"/>
      <c r="X88"/>
    </row>
    <row r="89" spans="1:24" ht="22.5" customHeight="1" x14ac:dyDescent="0.25">
      <c r="A89" s="22">
        <v>69</v>
      </c>
      <c r="B89" s="239"/>
      <c r="C89" s="239"/>
      <c r="D89" s="238"/>
      <c r="E89" s="238"/>
      <c r="F89" s="239"/>
      <c r="G89" s="239"/>
      <c r="H89" s="238"/>
      <c r="I89" s="238"/>
      <c r="J89" s="309">
        <f t="shared" si="5"/>
        <v>0</v>
      </c>
      <c r="K89" s="309"/>
      <c r="L89" s="343"/>
      <c r="M89" s="22">
        <v>69</v>
      </c>
      <c r="N89" s="239"/>
      <c r="O89" s="239"/>
      <c r="P89" s="238"/>
      <c r="Q89" s="238"/>
      <c r="R89" s="239"/>
      <c r="S89" s="239"/>
      <c r="T89" s="23"/>
      <c r="U89" s="256">
        <f t="shared" si="6"/>
        <v>0</v>
      </c>
      <c r="V89" s="257"/>
      <c r="W89"/>
      <c r="X89"/>
    </row>
    <row r="90" spans="1:24" ht="22.5" customHeight="1" x14ac:dyDescent="0.25">
      <c r="A90" s="14">
        <v>70</v>
      </c>
      <c r="B90" s="252"/>
      <c r="C90" s="252"/>
      <c r="D90" s="251"/>
      <c r="E90" s="251"/>
      <c r="F90" s="252"/>
      <c r="G90" s="252"/>
      <c r="H90" s="251"/>
      <c r="I90" s="251"/>
      <c r="J90" s="323">
        <f t="shared" si="5"/>
        <v>0</v>
      </c>
      <c r="K90" s="324"/>
      <c r="L90" s="343"/>
      <c r="M90" s="15">
        <v>70</v>
      </c>
      <c r="N90" s="260"/>
      <c r="O90" s="260"/>
      <c r="P90" s="259"/>
      <c r="Q90" s="259"/>
      <c r="R90" s="260"/>
      <c r="S90" s="260"/>
      <c r="T90" s="24"/>
      <c r="U90" s="340">
        <f t="shared" si="6"/>
        <v>0</v>
      </c>
      <c r="V90" s="341"/>
      <c r="W90"/>
      <c r="X90"/>
    </row>
    <row r="91" spans="1:24" ht="22.5" customHeight="1" x14ac:dyDescent="0.25">
      <c r="A91" s="22">
        <v>71</v>
      </c>
      <c r="B91" s="239"/>
      <c r="C91" s="239"/>
      <c r="D91" s="238"/>
      <c r="E91" s="238"/>
      <c r="F91" s="239"/>
      <c r="G91" s="239"/>
      <c r="H91" s="238"/>
      <c r="I91" s="238"/>
      <c r="J91" s="309">
        <f t="shared" si="5"/>
        <v>0</v>
      </c>
      <c r="K91" s="309"/>
      <c r="L91" s="343"/>
      <c r="M91" s="22">
        <v>71</v>
      </c>
      <c r="N91" s="239"/>
      <c r="O91" s="239"/>
      <c r="P91" s="238"/>
      <c r="Q91" s="238"/>
      <c r="R91" s="239"/>
      <c r="S91" s="239"/>
      <c r="T91" s="23"/>
      <c r="U91" s="256">
        <f t="shared" si="6"/>
        <v>0</v>
      </c>
      <c r="V91" s="257"/>
      <c r="W91"/>
      <c r="X91"/>
    </row>
    <row r="92" spans="1:24" ht="22.5" customHeight="1" x14ac:dyDescent="0.25">
      <c r="A92" s="14">
        <v>72</v>
      </c>
      <c r="B92" s="252"/>
      <c r="C92" s="252"/>
      <c r="D92" s="251"/>
      <c r="E92" s="251"/>
      <c r="F92" s="252"/>
      <c r="G92" s="252"/>
      <c r="H92" s="251"/>
      <c r="I92" s="251"/>
      <c r="J92" s="323">
        <f t="shared" si="5"/>
        <v>0</v>
      </c>
      <c r="K92" s="324"/>
      <c r="L92" s="343"/>
      <c r="M92" s="15">
        <v>72</v>
      </c>
      <c r="N92" s="260"/>
      <c r="O92" s="260"/>
      <c r="P92" s="259"/>
      <c r="Q92" s="259"/>
      <c r="R92" s="260"/>
      <c r="S92" s="260"/>
      <c r="T92" s="24"/>
      <c r="U92" s="340">
        <f t="shared" si="6"/>
        <v>0</v>
      </c>
      <c r="V92" s="341"/>
      <c r="W92"/>
      <c r="X92"/>
    </row>
    <row r="93" spans="1:24" ht="22.5" customHeight="1" x14ac:dyDescent="0.25">
      <c r="A93" s="22">
        <v>73</v>
      </c>
      <c r="B93" s="239"/>
      <c r="C93" s="239"/>
      <c r="D93" s="238"/>
      <c r="E93" s="238"/>
      <c r="F93" s="239"/>
      <c r="G93" s="239"/>
      <c r="H93" s="238"/>
      <c r="I93" s="238"/>
      <c r="J93" s="309">
        <f t="shared" si="5"/>
        <v>0</v>
      </c>
      <c r="K93" s="309"/>
      <c r="L93" s="343"/>
      <c r="M93" s="22">
        <v>73</v>
      </c>
      <c r="N93" s="239"/>
      <c r="O93" s="239"/>
      <c r="P93" s="238"/>
      <c r="Q93" s="238"/>
      <c r="R93" s="239"/>
      <c r="S93" s="239"/>
      <c r="T93" s="23"/>
      <c r="U93" s="256">
        <f t="shared" si="6"/>
        <v>0</v>
      </c>
      <c r="V93" s="257"/>
      <c r="W93"/>
      <c r="X93"/>
    </row>
    <row r="94" spans="1:24" ht="22.5" customHeight="1" x14ac:dyDescent="0.25">
      <c r="A94" s="14">
        <v>74</v>
      </c>
      <c r="B94" s="252"/>
      <c r="C94" s="252"/>
      <c r="D94" s="251"/>
      <c r="E94" s="251"/>
      <c r="F94" s="252"/>
      <c r="G94" s="252"/>
      <c r="H94" s="251"/>
      <c r="I94" s="251"/>
      <c r="J94" s="323">
        <f t="shared" si="5"/>
        <v>0</v>
      </c>
      <c r="K94" s="324"/>
      <c r="L94" s="343"/>
      <c r="M94" s="15">
        <v>74</v>
      </c>
      <c r="N94" s="260"/>
      <c r="O94" s="260"/>
      <c r="P94" s="259"/>
      <c r="Q94" s="259"/>
      <c r="R94" s="260"/>
      <c r="S94" s="260"/>
      <c r="T94" s="24"/>
      <c r="U94" s="340">
        <f t="shared" si="6"/>
        <v>0</v>
      </c>
      <c r="V94" s="341"/>
      <c r="W94"/>
      <c r="X94"/>
    </row>
    <row r="95" spans="1:24" ht="22.5" customHeight="1" x14ac:dyDescent="0.25">
      <c r="A95" s="22">
        <v>75</v>
      </c>
      <c r="B95" s="239"/>
      <c r="C95" s="239"/>
      <c r="D95" s="238"/>
      <c r="E95" s="238"/>
      <c r="F95" s="239"/>
      <c r="G95" s="239"/>
      <c r="H95" s="238"/>
      <c r="I95" s="238"/>
      <c r="J95" s="309">
        <f t="shared" si="5"/>
        <v>0</v>
      </c>
      <c r="K95" s="309"/>
      <c r="L95" s="343"/>
      <c r="M95" s="22">
        <v>75</v>
      </c>
      <c r="N95" s="239"/>
      <c r="O95" s="239"/>
      <c r="P95" s="238"/>
      <c r="Q95" s="238"/>
      <c r="R95" s="239"/>
      <c r="S95" s="239"/>
      <c r="T95" s="23"/>
      <c r="U95" s="256">
        <f t="shared" si="6"/>
        <v>0</v>
      </c>
      <c r="V95" s="257"/>
      <c r="W95"/>
      <c r="X95"/>
    </row>
    <row r="96" spans="1:24" ht="22.5" customHeight="1" x14ac:dyDescent="0.25">
      <c r="A96" s="14">
        <v>76</v>
      </c>
      <c r="B96" s="252"/>
      <c r="C96" s="252"/>
      <c r="D96" s="251"/>
      <c r="E96" s="251"/>
      <c r="F96" s="252"/>
      <c r="G96" s="252"/>
      <c r="H96" s="251"/>
      <c r="I96" s="251"/>
      <c r="J96" s="323">
        <f t="shared" si="5"/>
        <v>0</v>
      </c>
      <c r="K96" s="324"/>
      <c r="L96" s="343"/>
      <c r="M96" s="15">
        <v>76</v>
      </c>
      <c r="N96" s="260"/>
      <c r="O96" s="260"/>
      <c r="P96" s="259"/>
      <c r="Q96" s="259"/>
      <c r="R96" s="260"/>
      <c r="S96" s="260"/>
      <c r="T96" s="24"/>
      <c r="U96" s="340">
        <f t="shared" si="6"/>
        <v>0</v>
      </c>
      <c r="V96" s="341"/>
      <c r="W96"/>
      <c r="X96"/>
    </row>
    <row r="97" spans="1:24" ht="22.5" customHeight="1" x14ac:dyDescent="0.25">
      <c r="A97" s="22">
        <v>77</v>
      </c>
      <c r="B97" s="239"/>
      <c r="C97" s="239"/>
      <c r="D97" s="238"/>
      <c r="E97" s="238"/>
      <c r="F97" s="239"/>
      <c r="G97" s="239"/>
      <c r="H97" s="238"/>
      <c r="I97" s="238"/>
      <c r="J97" s="309">
        <f t="shared" si="5"/>
        <v>0</v>
      </c>
      <c r="K97" s="309"/>
      <c r="L97" s="343"/>
      <c r="M97" s="22">
        <v>77</v>
      </c>
      <c r="N97" s="239"/>
      <c r="O97" s="239"/>
      <c r="P97" s="238"/>
      <c r="Q97" s="238"/>
      <c r="R97" s="239"/>
      <c r="S97" s="239"/>
      <c r="T97" s="23"/>
      <c r="U97" s="256">
        <f t="shared" si="6"/>
        <v>0</v>
      </c>
      <c r="V97" s="257"/>
      <c r="W97"/>
      <c r="X97"/>
    </row>
    <row r="98" spans="1:24" ht="22.5" customHeight="1" x14ac:dyDescent="0.25">
      <c r="A98" s="14">
        <v>78</v>
      </c>
      <c r="B98" s="252"/>
      <c r="C98" s="252"/>
      <c r="D98" s="251"/>
      <c r="E98" s="251"/>
      <c r="F98" s="252"/>
      <c r="G98" s="252"/>
      <c r="H98" s="251"/>
      <c r="I98" s="251"/>
      <c r="J98" s="323">
        <f t="shared" si="5"/>
        <v>0</v>
      </c>
      <c r="K98" s="324"/>
      <c r="L98" s="343"/>
      <c r="M98" s="15">
        <v>78</v>
      </c>
      <c r="N98" s="260"/>
      <c r="O98" s="260"/>
      <c r="P98" s="259"/>
      <c r="Q98" s="259"/>
      <c r="R98" s="260"/>
      <c r="S98" s="260"/>
      <c r="T98" s="24"/>
      <c r="U98" s="340">
        <f t="shared" si="6"/>
        <v>0</v>
      </c>
      <c r="V98" s="341"/>
      <c r="W98"/>
      <c r="X98"/>
    </row>
    <row r="99" spans="1:24" ht="22.5" customHeight="1" x14ac:dyDescent="0.25">
      <c r="A99" s="22">
        <v>79</v>
      </c>
      <c r="B99" s="239"/>
      <c r="C99" s="239"/>
      <c r="D99" s="238"/>
      <c r="E99" s="238"/>
      <c r="F99" s="239"/>
      <c r="G99" s="239"/>
      <c r="H99" s="238"/>
      <c r="I99" s="238"/>
      <c r="J99" s="309">
        <f t="shared" si="5"/>
        <v>0</v>
      </c>
      <c r="K99" s="309"/>
      <c r="L99" s="343"/>
      <c r="M99" s="22">
        <v>79</v>
      </c>
      <c r="N99" s="239"/>
      <c r="O99" s="239"/>
      <c r="P99" s="238"/>
      <c r="Q99" s="238"/>
      <c r="R99" s="239"/>
      <c r="S99" s="239"/>
      <c r="T99" s="23"/>
      <c r="U99" s="256">
        <f t="shared" si="6"/>
        <v>0</v>
      </c>
      <c r="V99" s="257"/>
      <c r="W99"/>
      <c r="X99"/>
    </row>
    <row r="100" spans="1:24" ht="22.5" customHeight="1" x14ac:dyDescent="0.25">
      <c r="A100" s="14">
        <v>80</v>
      </c>
      <c r="B100" s="252"/>
      <c r="C100" s="252"/>
      <c r="D100" s="251"/>
      <c r="E100" s="251"/>
      <c r="F100" s="252"/>
      <c r="G100" s="252"/>
      <c r="H100" s="251"/>
      <c r="I100" s="251"/>
      <c r="J100" s="323">
        <f t="shared" si="5"/>
        <v>0</v>
      </c>
      <c r="K100" s="324"/>
      <c r="L100" s="343"/>
      <c r="M100" s="15">
        <v>80</v>
      </c>
      <c r="N100" s="260"/>
      <c r="O100" s="260"/>
      <c r="P100" s="259"/>
      <c r="Q100" s="259"/>
      <c r="R100" s="260"/>
      <c r="S100" s="260"/>
      <c r="T100" s="24"/>
      <c r="U100" s="340">
        <f t="shared" si="6"/>
        <v>0</v>
      </c>
      <c r="V100" s="341"/>
      <c r="W100"/>
      <c r="X100"/>
    </row>
    <row r="101" spans="1:24" ht="22.5" customHeight="1" x14ac:dyDescent="0.25">
      <c r="A101" s="22">
        <v>81</v>
      </c>
      <c r="B101" s="239"/>
      <c r="C101" s="239"/>
      <c r="D101" s="238"/>
      <c r="E101" s="238"/>
      <c r="F101" s="239"/>
      <c r="G101" s="239"/>
      <c r="H101" s="238"/>
      <c r="I101" s="238"/>
      <c r="J101" s="309">
        <f t="shared" si="5"/>
        <v>0</v>
      </c>
      <c r="K101" s="309"/>
      <c r="L101" s="343"/>
      <c r="M101" s="22">
        <v>81</v>
      </c>
      <c r="N101" s="239"/>
      <c r="O101" s="239"/>
      <c r="P101" s="238"/>
      <c r="Q101" s="238"/>
      <c r="R101" s="239"/>
      <c r="S101" s="239"/>
      <c r="T101" s="23"/>
      <c r="U101" s="256">
        <f t="shared" si="6"/>
        <v>0</v>
      </c>
      <c r="V101" s="257"/>
      <c r="W101"/>
      <c r="X101"/>
    </row>
    <row r="102" spans="1:24" ht="22.5" customHeight="1" x14ac:dyDescent="0.25">
      <c r="A102" s="14">
        <v>82</v>
      </c>
      <c r="B102" s="252"/>
      <c r="C102" s="252"/>
      <c r="D102" s="251"/>
      <c r="E102" s="251"/>
      <c r="F102" s="252"/>
      <c r="G102" s="252"/>
      <c r="H102" s="251"/>
      <c r="I102" s="251"/>
      <c r="J102" s="323">
        <f t="shared" si="5"/>
        <v>0</v>
      </c>
      <c r="K102" s="324"/>
      <c r="L102" s="343"/>
      <c r="M102" s="15">
        <v>82</v>
      </c>
      <c r="N102" s="260"/>
      <c r="O102" s="260"/>
      <c r="P102" s="259"/>
      <c r="Q102" s="259"/>
      <c r="R102" s="260"/>
      <c r="S102" s="260"/>
      <c r="T102" s="24"/>
      <c r="U102" s="340">
        <f t="shared" si="6"/>
        <v>0</v>
      </c>
      <c r="V102" s="341"/>
      <c r="W102"/>
      <c r="X102"/>
    </row>
    <row r="103" spans="1:24" ht="22.5" customHeight="1" x14ac:dyDescent="0.25">
      <c r="A103" s="22">
        <v>83</v>
      </c>
      <c r="B103" s="239"/>
      <c r="C103" s="239"/>
      <c r="D103" s="238"/>
      <c r="E103" s="238"/>
      <c r="F103" s="239"/>
      <c r="G103" s="239"/>
      <c r="H103" s="238"/>
      <c r="I103" s="238"/>
      <c r="J103" s="309">
        <f t="shared" si="5"/>
        <v>0</v>
      </c>
      <c r="K103" s="309"/>
      <c r="L103" s="343"/>
      <c r="M103" s="22">
        <v>83</v>
      </c>
      <c r="N103" s="239"/>
      <c r="O103" s="239"/>
      <c r="P103" s="238"/>
      <c r="Q103" s="238"/>
      <c r="R103" s="239"/>
      <c r="S103" s="239"/>
      <c r="T103" s="23"/>
      <c r="U103" s="256">
        <f t="shared" si="6"/>
        <v>0</v>
      </c>
      <c r="V103" s="257"/>
      <c r="W103"/>
      <c r="X103"/>
    </row>
    <row r="104" spans="1:24" ht="22.5" customHeight="1" x14ac:dyDescent="0.25">
      <c r="A104" s="14">
        <v>84</v>
      </c>
      <c r="B104" s="252"/>
      <c r="C104" s="252"/>
      <c r="D104" s="251"/>
      <c r="E104" s="251"/>
      <c r="F104" s="252"/>
      <c r="G104" s="252"/>
      <c r="H104" s="251"/>
      <c r="I104" s="251"/>
      <c r="J104" s="323">
        <f t="shared" si="5"/>
        <v>0</v>
      </c>
      <c r="K104" s="324"/>
      <c r="L104" s="343"/>
      <c r="M104" s="15">
        <v>84</v>
      </c>
      <c r="N104" s="260"/>
      <c r="O104" s="260"/>
      <c r="P104" s="259"/>
      <c r="Q104" s="259"/>
      <c r="R104" s="260"/>
      <c r="S104" s="260"/>
      <c r="T104" s="24"/>
      <c r="U104" s="340">
        <f t="shared" si="6"/>
        <v>0</v>
      </c>
      <c r="V104" s="341"/>
      <c r="W104"/>
      <c r="X104"/>
    </row>
    <row r="105" spans="1:24" ht="22.5" customHeight="1" x14ac:dyDescent="0.25">
      <c r="A105" s="22">
        <v>85</v>
      </c>
      <c r="B105" s="239"/>
      <c r="C105" s="239"/>
      <c r="D105" s="238"/>
      <c r="E105" s="238"/>
      <c r="F105" s="239"/>
      <c r="G105" s="239"/>
      <c r="H105" s="238"/>
      <c r="I105" s="238"/>
      <c r="J105" s="309">
        <f t="shared" si="5"/>
        <v>0</v>
      </c>
      <c r="K105" s="309"/>
      <c r="L105" s="343"/>
      <c r="M105" s="22">
        <v>85</v>
      </c>
      <c r="N105" s="239"/>
      <c r="O105" s="239"/>
      <c r="P105" s="238"/>
      <c r="Q105" s="238"/>
      <c r="R105" s="239"/>
      <c r="S105" s="239"/>
      <c r="T105" s="23"/>
      <c r="U105" s="256">
        <f t="shared" si="6"/>
        <v>0</v>
      </c>
      <c r="V105" s="257"/>
      <c r="W105"/>
      <c r="X105"/>
    </row>
    <row r="106" spans="1:24" ht="22.5" customHeight="1" x14ac:dyDescent="0.25">
      <c r="A106" s="14">
        <v>86</v>
      </c>
      <c r="B106" s="252"/>
      <c r="C106" s="252"/>
      <c r="D106" s="251"/>
      <c r="E106" s="251"/>
      <c r="F106" s="252"/>
      <c r="G106" s="252"/>
      <c r="H106" s="251"/>
      <c r="I106" s="251"/>
      <c r="J106" s="323">
        <f t="shared" si="5"/>
        <v>0</v>
      </c>
      <c r="K106" s="324"/>
      <c r="L106" s="343"/>
      <c r="M106" s="15">
        <v>86</v>
      </c>
      <c r="N106" s="260"/>
      <c r="O106" s="260"/>
      <c r="P106" s="259"/>
      <c r="Q106" s="259"/>
      <c r="R106" s="260"/>
      <c r="S106" s="260"/>
      <c r="T106" s="24"/>
      <c r="U106" s="340">
        <f t="shared" si="6"/>
        <v>0</v>
      </c>
      <c r="V106" s="341"/>
      <c r="W106"/>
      <c r="X106"/>
    </row>
    <row r="107" spans="1:24" ht="22.5" customHeight="1" x14ac:dyDescent="0.25">
      <c r="A107" s="22">
        <v>87</v>
      </c>
      <c r="B107" s="239"/>
      <c r="C107" s="239"/>
      <c r="D107" s="238"/>
      <c r="E107" s="238"/>
      <c r="F107" s="239"/>
      <c r="G107" s="239"/>
      <c r="H107" s="238"/>
      <c r="I107" s="238"/>
      <c r="J107" s="309">
        <f t="shared" si="5"/>
        <v>0</v>
      </c>
      <c r="K107" s="309"/>
      <c r="L107" s="343"/>
      <c r="M107" s="22">
        <v>87</v>
      </c>
      <c r="N107" s="239"/>
      <c r="O107" s="239"/>
      <c r="P107" s="238"/>
      <c r="Q107" s="238"/>
      <c r="R107" s="239"/>
      <c r="S107" s="239"/>
      <c r="T107" s="23"/>
      <c r="U107" s="256">
        <f t="shared" si="6"/>
        <v>0</v>
      </c>
      <c r="V107" s="257"/>
      <c r="W107"/>
      <c r="X107"/>
    </row>
    <row r="108" spans="1:24" ht="22.5" customHeight="1" x14ac:dyDescent="0.25">
      <c r="A108" s="14">
        <v>88</v>
      </c>
      <c r="B108" s="252"/>
      <c r="C108" s="252"/>
      <c r="D108" s="251"/>
      <c r="E108" s="251"/>
      <c r="F108" s="252"/>
      <c r="G108" s="252"/>
      <c r="H108" s="251"/>
      <c r="I108" s="251"/>
      <c r="J108" s="323">
        <f t="shared" si="5"/>
        <v>0</v>
      </c>
      <c r="K108" s="324"/>
      <c r="L108" s="343"/>
      <c r="M108" s="15">
        <v>88</v>
      </c>
      <c r="N108" s="260"/>
      <c r="O108" s="260"/>
      <c r="P108" s="259"/>
      <c r="Q108" s="259"/>
      <c r="R108" s="260"/>
      <c r="S108" s="260"/>
      <c r="T108" s="24"/>
      <c r="U108" s="340">
        <f t="shared" si="6"/>
        <v>0</v>
      </c>
      <c r="V108" s="341"/>
      <c r="W108"/>
      <c r="X108"/>
    </row>
    <row r="109" spans="1:24" ht="22.5" customHeight="1" x14ac:dyDescent="0.25">
      <c r="A109" s="22">
        <v>89</v>
      </c>
      <c r="B109" s="239"/>
      <c r="C109" s="239"/>
      <c r="D109" s="238"/>
      <c r="E109" s="238"/>
      <c r="F109" s="239"/>
      <c r="G109" s="239"/>
      <c r="H109" s="238"/>
      <c r="I109" s="238"/>
      <c r="J109" s="309">
        <f t="shared" si="5"/>
        <v>0</v>
      </c>
      <c r="K109" s="309"/>
      <c r="L109" s="343"/>
      <c r="M109" s="22">
        <v>89</v>
      </c>
      <c r="N109" s="239"/>
      <c r="O109" s="239"/>
      <c r="P109" s="238"/>
      <c r="Q109" s="238"/>
      <c r="R109" s="239"/>
      <c r="S109" s="239"/>
      <c r="T109" s="23"/>
      <c r="U109" s="256">
        <f t="shared" si="6"/>
        <v>0</v>
      </c>
      <c r="V109" s="257"/>
      <c r="W109"/>
      <c r="X109"/>
    </row>
    <row r="110" spans="1:24" ht="22.5" customHeight="1" x14ac:dyDescent="0.25">
      <c r="A110" s="14">
        <v>90</v>
      </c>
      <c r="B110" s="252"/>
      <c r="C110" s="252"/>
      <c r="D110" s="251"/>
      <c r="E110" s="251"/>
      <c r="F110" s="252"/>
      <c r="G110" s="252"/>
      <c r="H110" s="251"/>
      <c r="I110" s="251"/>
      <c r="J110" s="323">
        <f t="shared" si="5"/>
        <v>0</v>
      </c>
      <c r="K110" s="324"/>
      <c r="L110" s="343"/>
      <c r="M110" s="15">
        <v>90</v>
      </c>
      <c r="N110" s="260"/>
      <c r="O110" s="260"/>
      <c r="P110" s="259"/>
      <c r="Q110" s="259"/>
      <c r="R110" s="260"/>
      <c r="S110" s="260"/>
      <c r="T110" s="24"/>
      <c r="U110" s="340">
        <f t="shared" si="6"/>
        <v>0</v>
      </c>
      <c r="V110" s="341"/>
      <c r="W110"/>
      <c r="X110"/>
    </row>
    <row r="111" spans="1:24" ht="22.5" customHeight="1" x14ac:dyDescent="0.25">
      <c r="A111" s="22">
        <v>91</v>
      </c>
      <c r="B111" s="239"/>
      <c r="C111" s="239"/>
      <c r="D111" s="238"/>
      <c r="E111" s="238"/>
      <c r="F111" s="239"/>
      <c r="G111" s="239"/>
      <c r="H111" s="238"/>
      <c r="I111" s="238"/>
      <c r="J111" s="309">
        <f t="shared" si="5"/>
        <v>0</v>
      </c>
      <c r="K111" s="309"/>
      <c r="L111" s="343"/>
      <c r="M111" s="22">
        <v>91</v>
      </c>
      <c r="N111" s="239"/>
      <c r="O111" s="239"/>
      <c r="P111" s="238"/>
      <c r="Q111" s="238"/>
      <c r="R111" s="239"/>
      <c r="S111" s="239"/>
      <c r="T111" s="23"/>
      <c r="U111" s="256">
        <f t="shared" si="6"/>
        <v>0</v>
      </c>
      <c r="V111" s="257"/>
      <c r="W111"/>
      <c r="X111"/>
    </row>
    <row r="112" spans="1:24" ht="22.5" customHeight="1" x14ac:dyDescent="0.25">
      <c r="A112" s="14">
        <v>92</v>
      </c>
      <c r="B112" s="252"/>
      <c r="C112" s="252"/>
      <c r="D112" s="251"/>
      <c r="E112" s="251"/>
      <c r="F112" s="252"/>
      <c r="G112" s="252"/>
      <c r="H112" s="251"/>
      <c r="I112" s="251"/>
      <c r="J112" s="323">
        <f t="shared" si="5"/>
        <v>0</v>
      </c>
      <c r="K112" s="324"/>
      <c r="L112" s="343"/>
      <c r="M112" s="15">
        <v>92</v>
      </c>
      <c r="N112" s="260"/>
      <c r="O112" s="260"/>
      <c r="P112" s="259"/>
      <c r="Q112" s="259"/>
      <c r="R112" s="260"/>
      <c r="S112" s="260"/>
      <c r="T112" s="24"/>
      <c r="U112" s="340">
        <f t="shared" si="6"/>
        <v>0</v>
      </c>
      <c r="V112" s="341"/>
      <c r="W112"/>
      <c r="X112"/>
    </row>
    <row r="113" spans="1:24" ht="22.5" customHeight="1" x14ac:dyDescent="0.25">
      <c r="A113" s="22">
        <v>93</v>
      </c>
      <c r="B113" s="239"/>
      <c r="C113" s="239"/>
      <c r="D113" s="238"/>
      <c r="E113" s="238"/>
      <c r="F113" s="239"/>
      <c r="G113" s="239"/>
      <c r="H113" s="238"/>
      <c r="I113" s="238"/>
      <c r="J113" s="309">
        <f t="shared" si="5"/>
        <v>0</v>
      </c>
      <c r="K113" s="309"/>
      <c r="L113" s="343"/>
      <c r="M113" s="22">
        <v>93</v>
      </c>
      <c r="N113" s="239"/>
      <c r="O113" s="239"/>
      <c r="P113" s="238"/>
      <c r="Q113" s="238"/>
      <c r="R113" s="239"/>
      <c r="S113" s="239"/>
      <c r="T113" s="23"/>
      <c r="U113" s="256">
        <f t="shared" si="6"/>
        <v>0</v>
      </c>
      <c r="V113" s="257"/>
      <c r="W113"/>
      <c r="X113"/>
    </row>
    <row r="114" spans="1:24" ht="22.5" customHeight="1" x14ac:dyDescent="0.25">
      <c r="A114" s="14">
        <v>94</v>
      </c>
      <c r="B114" s="252"/>
      <c r="C114" s="252"/>
      <c r="D114" s="251"/>
      <c r="E114" s="251"/>
      <c r="F114" s="252"/>
      <c r="G114" s="252"/>
      <c r="H114" s="251"/>
      <c r="I114" s="251"/>
      <c r="J114" s="323">
        <f t="shared" si="5"/>
        <v>0</v>
      </c>
      <c r="K114" s="324"/>
      <c r="L114" s="343"/>
      <c r="M114" s="15">
        <v>94</v>
      </c>
      <c r="N114" s="260"/>
      <c r="O114" s="260"/>
      <c r="P114" s="259"/>
      <c r="Q114" s="259"/>
      <c r="R114" s="260"/>
      <c r="S114" s="260"/>
      <c r="T114" s="24"/>
      <c r="U114" s="340">
        <f t="shared" si="6"/>
        <v>0</v>
      </c>
      <c r="V114" s="341"/>
      <c r="W114"/>
      <c r="X114"/>
    </row>
    <row r="115" spans="1:24" ht="22.5" customHeight="1" x14ac:dyDescent="0.25">
      <c r="A115" s="22">
        <v>95</v>
      </c>
      <c r="B115" s="239"/>
      <c r="C115" s="239"/>
      <c r="D115" s="238"/>
      <c r="E115" s="238"/>
      <c r="F115" s="239"/>
      <c r="G115" s="239"/>
      <c r="H115" s="238"/>
      <c r="I115" s="238"/>
      <c r="J115" s="309">
        <f t="shared" si="5"/>
        <v>0</v>
      </c>
      <c r="K115" s="309"/>
      <c r="L115" s="343"/>
      <c r="M115" s="22">
        <v>95</v>
      </c>
      <c r="N115" s="239"/>
      <c r="O115" s="239"/>
      <c r="P115" s="238"/>
      <c r="Q115" s="238"/>
      <c r="R115" s="239"/>
      <c r="S115" s="239"/>
      <c r="T115" s="23"/>
      <c r="U115" s="256">
        <f t="shared" si="6"/>
        <v>0</v>
      </c>
      <c r="V115" s="257"/>
      <c r="W115"/>
      <c r="X115"/>
    </row>
    <row r="116" spans="1:24" ht="22.5" customHeight="1" x14ac:dyDescent="0.25">
      <c r="A116" s="14">
        <v>96</v>
      </c>
      <c r="B116" s="252"/>
      <c r="C116" s="252"/>
      <c r="D116" s="251"/>
      <c r="E116" s="251"/>
      <c r="F116" s="252"/>
      <c r="G116" s="252"/>
      <c r="H116" s="251"/>
      <c r="I116" s="251"/>
      <c r="J116" s="323">
        <f t="shared" si="5"/>
        <v>0</v>
      </c>
      <c r="K116" s="324"/>
      <c r="L116" s="343"/>
      <c r="M116" s="15">
        <v>96</v>
      </c>
      <c r="N116" s="260"/>
      <c r="O116" s="260"/>
      <c r="P116" s="259"/>
      <c r="Q116" s="259"/>
      <c r="R116" s="260"/>
      <c r="S116" s="260"/>
      <c r="T116" s="24"/>
      <c r="U116" s="340">
        <f t="shared" si="6"/>
        <v>0</v>
      </c>
      <c r="V116" s="341"/>
      <c r="W116"/>
      <c r="X116"/>
    </row>
    <row r="117" spans="1:24" ht="22.5" customHeight="1" x14ac:dyDescent="0.25">
      <c r="A117" s="22">
        <v>97</v>
      </c>
      <c r="B117" s="239"/>
      <c r="C117" s="239"/>
      <c r="D117" s="238"/>
      <c r="E117" s="238"/>
      <c r="F117" s="239"/>
      <c r="G117" s="239"/>
      <c r="H117" s="238"/>
      <c r="I117" s="238"/>
      <c r="J117" s="309">
        <f t="shared" si="5"/>
        <v>0</v>
      </c>
      <c r="K117" s="309"/>
      <c r="L117" s="343"/>
      <c r="M117" s="22">
        <v>97</v>
      </c>
      <c r="N117" s="239"/>
      <c r="O117" s="239"/>
      <c r="P117" s="238"/>
      <c r="Q117" s="238"/>
      <c r="R117" s="239"/>
      <c r="S117" s="239"/>
      <c r="T117" s="23"/>
      <c r="U117" s="256">
        <f t="shared" si="6"/>
        <v>0</v>
      </c>
      <c r="V117" s="257"/>
      <c r="W117"/>
      <c r="X117"/>
    </row>
    <row r="118" spans="1:24" ht="22.5" customHeight="1" x14ac:dyDescent="0.25">
      <c r="A118" s="14">
        <v>98</v>
      </c>
      <c r="B118" s="252"/>
      <c r="C118" s="252"/>
      <c r="D118" s="251"/>
      <c r="E118" s="251"/>
      <c r="F118" s="252"/>
      <c r="G118" s="252"/>
      <c r="H118" s="251"/>
      <c r="I118" s="251"/>
      <c r="J118" s="323">
        <f t="shared" si="5"/>
        <v>0</v>
      </c>
      <c r="K118" s="324"/>
      <c r="L118" s="343"/>
      <c r="M118" s="15">
        <v>98</v>
      </c>
      <c r="N118" s="260"/>
      <c r="O118" s="260"/>
      <c r="P118" s="259"/>
      <c r="Q118" s="259"/>
      <c r="R118" s="260"/>
      <c r="S118" s="260"/>
      <c r="T118" s="24"/>
      <c r="U118" s="340">
        <f t="shared" si="6"/>
        <v>0</v>
      </c>
      <c r="V118" s="341"/>
      <c r="W118"/>
      <c r="X118"/>
    </row>
    <row r="119" spans="1:24" ht="22.5" customHeight="1" x14ac:dyDescent="0.25">
      <c r="A119" s="22">
        <v>99</v>
      </c>
      <c r="B119" s="239"/>
      <c r="C119" s="239"/>
      <c r="D119" s="238"/>
      <c r="E119" s="238"/>
      <c r="F119" s="239"/>
      <c r="G119" s="239"/>
      <c r="H119" s="238"/>
      <c r="I119" s="238"/>
      <c r="J119" s="309">
        <f t="shared" si="5"/>
        <v>0</v>
      </c>
      <c r="K119" s="309"/>
      <c r="L119" s="343"/>
      <c r="M119" s="22">
        <v>99</v>
      </c>
      <c r="N119" s="239"/>
      <c r="O119" s="239"/>
      <c r="P119" s="238"/>
      <c r="Q119" s="238"/>
      <c r="R119" s="239"/>
      <c r="S119" s="239"/>
      <c r="T119" s="23"/>
      <c r="U119" s="256">
        <f t="shared" si="6"/>
        <v>0</v>
      </c>
      <c r="V119" s="257"/>
      <c r="W119"/>
      <c r="X119"/>
    </row>
    <row r="120" spans="1:24" ht="22.5" customHeight="1" x14ac:dyDescent="0.25">
      <c r="A120" s="14">
        <v>100</v>
      </c>
      <c r="B120" s="252"/>
      <c r="C120" s="252"/>
      <c r="D120" s="251"/>
      <c r="E120" s="251"/>
      <c r="F120" s="252"/>
      <c r="G120" s="252"/>
      <c r="H120" s="251"/>
      <c r="I120" s="251"/>
      <c r="J120" s="323">
        <f t="shared" si="5"/>
        <v>0</v>
      </c>
      <c r="K120" s="324"/>
      <c r="L120" s="343"/>
      <c r="M120" s="15">
        <v>100</v>
      </c>
      <c r="N120" s="260"/>
      <c r="O120" s="260"/>
      <c r="P120" s="259"/>
      <c r="Q120" s="259"/>
      <c r="R120" s="260"/>
      <c r="S120" s="260"/>
      <c r="T120" s="24"/>
      <c r="U120" s="340">
        <f t="shared" si="6"/>
        <v>0</v>
      </c>
      <c r="V120" s="341"/>
      <c r="W120"/>
      <c r="X120"/>
    </row>
    <row r="121" spans="1:24" ht="22.5" customHeight="1" x14ac:dyDescent="0.25">
      <c r="A121" s="22">
        <v>101</v>
      </c>
      <c r="B121" s="239"/>
      <c r="C121" s="239"/>
      <c r="D121" s="238"/>
      <c r="E121" s="238"/>
      <c r="F121" s="239"/>
      <c r="G121" s="239"/>
      <c r="H121" s="238"/>
      <c r="I121" s="238"/>
      <c r="J121" s="309">
        <f t="shared" si="5"/>
        <v>0</v>
      </c>
      <c r="K121" s="309"/>
      <c r="L121" s="343"/>
      <c r="M121" s="22">
        <v>101</v>
      </c>
      <c r="N121" s="239"/>
      <c r="O121" s="239"/>
      <c r="P121" s="238"/>
      <c r="Q121" s="238"/>
      <c r="R121" s="239"/>
      <c r="S121" s="239"/>
      <c r="T121" s="23"/>
      <c r="U121" s="256">
        <f t="shared" si="6"/>
        <v>0</v>
      </c>
      <c r="V121" s="257"/>
      <c r="W121"/>
      <c r="X121"/>
    </row>
    <row r="122" spans="1:24" ht="22.5" customHeight="1" x14ac:dyDescent="0.25">
      <c r="A122" s="14">
        <v>102</v>
      </c>
      <c r="B122" s="252"/>
      <c r="C122" s="252"/>
      <c r="D122" s="251"/>
      <c r="E122" s="251"/>
      <c r="F122" s="252"/>
      <c r="G122" s="252"/>
      <c r="H122" s="251"/>
      <c r="I122" s="251"/>
      <c r="J122" s="323">
        <f t="shared" si="5"/>
        <v>0</v>
      </c>
      <c r="K122" s="324"/>
      <c r="L122" s="343"/>
      <c r="M122" s="15">
        <v>102</v>
      </c>
      <c r="N122" s="260"/>
      <c r="O122" s="260"/>
      <c r="P122" s="259"/>
      <c r="Q122" s="259"/>
      <c r="R122" s="260"/>
      <c r="S122" s="260"/>
      <c r="T122" s="24"/>
      <c r="U122" s="340">
        <f t="shared" si="6"/>
        <v>0</v>
      </c>
      <c r="V122" s="341"/>
      <c r="W122"/>
      <c r="X122"/>
    </row>
    <row r="123" spans="1:24" ht="22.5" customHeight="1" x14ac:dyDescent="0.25">
      <c r="A123" s="22">
        <v>103</v>
      </c>
      <c r="B123" s="239"/>
      <c r="C123" s="239"/>
      <c r="D123" s="238"/>
      <c r="E123" s="238"/>
      <c r="F123" s="239"/>
      <c r="G123" s="239"/>
      <c r="H123" s="238"/>
      <c r="I123" s="238"/>
      <c r="J123" s="309">
        <f t="shared" si="5"/>
        <v>0</v>
      </c>
      <c r="K123" s="309"/>
      <c r="L123" s="343"/>
      <c r="M123" s="22">
        <v>103</v>
      </c>
      <c r="N123" s="239"/>
      <c r="O123" s="239"/>
      <c r="P123" s="238"/>
      <c r="Q123" s="238"/>
      <c r="R123" s="239"/>
      <c r="S123" s="239"/>
      <c r="T123" s="23"/>
      <c r="U123" s="256">
        <f t="shared" si="6"/>
        <v>0</v>
      </c>
      <c r="V123" s="257"/>
      <c r="W123"/>
      <c r="X123"/>
    </row>
    <row r="124" spans="1:24" ht="22.5" customHeight="1" x14ac:dyDescent="0.25">
      <c r="A124" s="14">
        <v>104</v>
      </c>
      <c r="B124" s="252"/>
      <c r="C124" s="252"/>
      <c r="D124" s="251"/>
      <c r="E124" s="251"/>
      <c r="F124" s="252"/>
      <c r="G124" s="252"/>
      <c r="H124" s="251"/>
      <c r="I124" s="251"/>
      <c r="J124" s="323">
        <f t="shared" si="5"/>
        <v>0</v>
      </c>
      <c r="K124" s="324"/>
      <c r="L124" s="343"/>
      <c r="M124" s="15">
        <v>104</v>
      </c>
      <c r="N124" s="260"/>
      <c r="O124" s="260"/>
      <c r="P124" s="259"/>
      <c r="Q124" s="259"/>
      <c r="R124" s="260"/>
      <c r="S124" s="260"/>
      <c r="T124" s="24"/>
      <c r="U124" s="340">
        <f t="shared" si="6"/>
        <v>0</v>
      </c>
      <c r="V124" s="341"/>
      <c r="W124"/>
      <c r="X124"/>
    </row>
    <row r="125" spans="1:24" ht="22.5" customHeight="1" x14ac:dyDescent="0.25">
      <c r="A125" s="22">
        <v>105</v>
      </c>
      <c r="B125" s="239"/>
      <c r="C125" s="239"/>
      <c r="D125" s="238"/>
      <c r="E125" s="238"/>
      <c r="F125" s="239"/>
      <c r="G125" s="239"/>
      <c r="H125" s="238"/>
      <c r="I125" s="238"/>
      <c r="J125" s="309">
        <f t="shared" si="5"/>
        <v>0</v>
      </c>
      <c r="K125" s="309"/>
      <c r="L125" s="343"/>
      <c r="M125" s="22">
        <v>105</v>
      </c>
      <c r="N125" s="239"/>
      <c r="O125" s="239"/>
      <c r="P125" s="238"/>
      <c r="Q125" s="238"/>
      <c r="R125" s="239"/>
      <c r="S125" s="239"/>
      <c r="T125" s="23"/>
      <c r="U125" s="256">
        <f t="shared" si="6"/>
        <v>0</v>
      </c>
      <c r="V125" s="257"/>
      <c r="W125"/>
      <c r="X125"/>
    </row>
    <row r="126" spans="1:24" ht="22.5" customHeight="1" x14ac:dyDescent="0.25">
      <c r="A126" s="14">
        <v>106</v>
      </c>
      <c r="B126" s="252"/>
      <c r="C126" s="252"/>
      <c r="D126" s="251"/>
      <c r="E126" s="251"/>
      <c r="F126" s="252"/>
      <c r="G126" s="252"/>
      <c r="H126" s="251"/>
      <c r="I126" s="251"/>
      <c r="J126" s="323">
        <f t="shared" si="5"/>
        <v>0</v>
      </c>
      <c r="K126" s="324"/>
      <c r="L126" s="343"/>
      <c r="M126" s="15">
        <v>106</v>
      </c>
      <c r="N126" s="260"/>
      <c r="O126" s="260"/>
      <c r="P126" s="259"/>
      <c r="Q126" s="259"/>
      <c r="R126" s="260"/>
      <c r="S126" s="260"/>
      <c r="T126" s="24"/>
      <c r="U126" s="340">
        <f t="shared" si="6"/>
        <v>0</v>
      </c>
      <c r="V126" s="341"/>
      <c r="W126"/>
      <c r="X126"/>
    </row>
    <row r="127" spans="1:24" ht="22.5" customHeight="1" x14ac:dyDescent="0.25">
      <c r="A127" s="22">
        <v>107</v>
      </c>
      <c r="B127" s="239"/>
      <c r="C127" s="239"/>
      <c r="D127" s="238"/>
      <c r="E127" s="238"/>
      <c r="F127" s="239"/>
      <c r="G127" s="239"/>
      <c r="H127" s="238"/>
      <c r="I127" s="238"/>
      <c r="J127" s="309">
        <f t="shared" si="5"/>
        <v>0</v>
      </c>
      <c r="K127" s="309"/>
      <c r="L127" s="343"/>
      <c r="M127" s="22">
        <v>107</v>
      </c>
      <c r="N127" s="239"/>
      <c r="O127" s="239"/>
      <c r="P127" s="238"/>
      <c r="Q127" s="238"/>
      <c r="R127" s="239"/>
      <c r="S127" s="239"/>
      <c r="T127" s="23"/>
      <c r="U127" s="256">
        <f t="shared" si="6"/>
        <v>0</v>
      </c>
      <c r="V127" s="257"/>
      <c r="W127"/>
      <c r="X127"/>
    </row>
    <row r="128" spans="1:24" ht="22.5" customHeight="1" x14ac:dyDescent="0.25">
      <c r="A128" s="14">
        <v>108</v>
      </c>
      <c r="B128" s="252"/>
      <c r="C128" s="252"/>
      <c r="D128" s="251"/>
      <c r="E128" s="251"/>
      <c r="F128" s="252"/>
      <c r="G128" s="252"/>
      <c r="H128" s="251"/>
      <c r="I128" s="251"/>
      <c r="J128" s="323">
        <f t="shared" si="5"/>
        <v>0</v>
      </c>
      <c r="K128" s="324"/>
      <c r="L128" s="343"/>
      <c r="M128" s="15">
        <v>108</v>
      </c>
      <c r="N128" s="260"/>
      <c r="O128" s="260"/>
      <c r="P128" s="259"/>
      <c r="Q128" s="259"/>
      <c r="R128" s="260"/>
      <c r="S128" s="260"/>
      <c r="T128" s="24"/>
      <c r="U128" s="340">
        <f t="shared" si="6"/>
        <v>0</v>
      </c>
      <c r="V128" s="341"/>
      <c r="W128"/>
      <c r="X128"/>
    </row>
    <row r="129" spans="1:24" ht="22.5" customHeight="1" x14ac:dyDescent="0.25">
      <c r="A129" s="22">
        <v>109</v>
      </c>
      <c r="B129" s="239"/>
      <c r="C129" s="239"/>
      <c r="D129" s="238"/>
      <c r="E129" s="238"/>
      <c r="F129" s="239"/>
      <c r="G129" s="239"/>
      <c r="H129" s="238"/>
      <c r="I129" s="238"/>
      <c r="J129" s="309">
        <f t="shared" si="5"/>
        <v>0</v>
      </c>
      <c r="K129" s="309"/>
      <c r="L129" s="343"/>
      <c r="M129" s="22">
        <v>109</v>
      </c>
      <c r="N129" s="239"/>
      <c r="O129" s="239"/>
      <c r="P129" s="238"/>
      <c r="Q129" s="238"/>
      <c r="R129" s="239"/>
      <c r="S129" s="239"/>
      <c r="T129" s="23"/>
      <c r="U129" s="256">
        <f t="shared" si="6"/>
        <v>0</v>
      </c>
      <c r="V129" s="257"/>
      <c r="W129"/>
      <c r="X129"/>
    </row>
    <row r="130" spans="1:24" ht="22.5" customHeight="1" x14ac:dyDescent="0.25">
      <c r="A130" s="14">
        <v>110</v>
      </c>
      <c r="B130" s="252"/>
      <c r="C130" s="252"/>
      <c r="D130" s="251"/>
      <c r="E130" s="251"/>
      <c r="F130" s="252"/>
      <c r="G130" s="252"/>
      <c r="H130" s="251"/>
      <c r="I130" s="251"/>
      <c r="J130" s="323">
        <f t="shared" si="5"/>
        <v>0</v>
      </c>
      <c r="K130" s="324"/>
      <c r="L130" s="343"/>
      <c r="M130" s="15">
        <v>110</v>
      </c>
      <c r="N130" s="260"/>
      <c r="O130" s="260"/>
      <c r="P130" s="259"/>
      <c r="Q130" s="259"/>
      <c r="R130" s="260"/>
      <c r="S130" s="260"/>
      <c r="T130" s="24"/>
      <c r="U130" s="340">
        <f t="shared" si="6"/>
        <v>0</v>
      </c>
      <c r="V130" s="341"/>
      <c r="W130"/>
      <c r="X130"/>
    </row>
    <row r="131" spans="1:24" ht="22.5" customHeight="1" x14ac:dyDescent="0.25">
      <c r="A131" s="22">
        <v>111</v>
      </c>
      <c r="B131" s="239"/>
      <c r="C131" s="239"/>
      <c r="D131" s="238"/>
      <c r="E131" s="238"/>
      <c r="F131" s="239"/>
      <c r="G131" s="239"/>
      <c r="H131" s="238"/>
      <c r="I131" s="238"/>
      <c r="J131" s="309">
        <f t="shared" si="5"/>
        <v>0</v>
      </c>
      <c r="K131" s="309"/>
      <c r="L131" s="343"/>
      <c r="M131" s="22">
        <v>111</v>
      </c>
      <c r="N131" s="239"/>
      <c r="O131" s="239"/>
      <c r="P131" s="238"/>
      <c r="Q131" s="238"/>
      <c r="R131" s="239"/>
      <c r="S131" s="239"/>
      <c r="T131" s="23"/>
      <c r="U131" s="256">
        <f t="shared" si="6"/>
        <v>0</v>
      </c>
      <c r="V131" s="257"/>
      <c r="W131"/>
      <c r="X131"/>
    </row>
    <row r="132" spans="1:24" ht="22.5" customHeight="1" x14ac:dyDescent="0.25">
      <c r="A132" s="14">
        <v>112</v>
      </c>
      <c r="B132" s="252"/>
      <c r="C132" s="252"/>
      <c r="D132" s="251"/>
      <c r="E132" s="251"/>
      <c r="F132" s="252"/>
      <c r="G132" s="252"/>
      <c r="H132" s="251"/>
      <c r="I132" s="251"/>
      <c r="J132" s="323">
        <f t="shared" si="5"/>
        <v>0</v>
      </c>
      <c r="K132" s="324"/>
      <c r="L132" s="343"/>
      <c r="M132" s="15">
        <v>112</v>
      </c>
      <c r="N132" s="260"/>
      <c r="O132" s="260"/>
      <c r="P132" s="259"/>
      <c r="Q132" s="259"/>
      <c r="R132" s="260"/>
      <c r="S132" s="260"/>
      <c r="T132" s="24"/>
      <c r="U132" s="340">
        <f t="shared" si="6"/>
        <v>0</v>
      </c>
      <c r="V132" s="341"/>
      <c r="W132"/>
      <c r="X132"/>
    </row>
    <row r="133" spans="1:24" ht="22.5" customHeight="1" x14ac:dyDescent="0.25">
      <c r="A133" s="22">
        <v>113</v>
      </c>
      <c r="B133" s="239"/>
      <c r="C133" s="239"/>
      <c r="D133" s="238"/>
      <c r="E133" s="238"/>
      <c r="F133" s="239"/>
      <c r="G133" s="239"/>
      <c r="H133" s="238"/>
      <c r="I133" s="238"/>
      <c r="J133" s="309">
        <f t="shared" si="5"/>
        <v>0</v>
      </c>
      <c r="K133" s="309"/>
      <c r="L133" s="343"/>
      <c r="M133" s="22">
        <v>113</v>
      </c>
      <c r="N133" s="239"/>
      <c r="O133" s="239"/>
      <c r="P133" s="238"/>
      <c r="Q133" s="238"/>
      <c r="R133" s="239"/>
      <c r="S133" s="239"/>
      <c r="T133" s="23"/>
      <c r="U133" s="256">
        <f t="shared" si="6"/>
        <v>0</v>
      </c>
      <c r="V133" s="257"/>
      <c r="W133"/>
      <c r="X133"/>
    </row>
    <row r="134" spans="1:24" ht="22.5" customHeight="1" x14ac:dyDescent="0.25">
      <c r="A134" s="14">
        <v>114</v>
      </c>
      <c r="B134" s="252"/>
      <c r="C134" s="252"/>
      <c r="D134" s="251"/>
      <c r="E134" s="251"/>
      <c r="F134" s="252"/>
      <c r="G134" s="252"/>
      <c r="H134" s="251"/>
      <c r="I134" s="251"/>
      <c r="J134" s="323">
        <f t="shared" si="5"/>
        <v>0</v>
      </c>
      <c r="K134" s="324"/>
      <c r="L134" s="343"/>
      <c r="M134" s="15">
        <v>114</v>
      </c>
      <c r="N134" s="260"/>
      <c r="O134" s="260"/>
      <c r="P134" s="259"/>
      <c r="Q134" s="259"/>
      <c r="R134" s="260"/>
      <c r="S134" s="260"/>
      <c r="T134" s="24"/>
      <c r="U134" s="340">
        <f t="shared" si="6"/>
        <v>0</v>
      </c>
      <c r="V134" s="341"/>
      <c r="W134"/>
      <c r="X134"/>
    </row>
    <row r="135" spans="1:24" ht="22.5" customHeight="1" x14ac:dyDescent="0.25">
      <c r="A135" s="22">
        <v>115</v>
      </c>
      <c r="B135" s="239"/>
      <c r="C135" s="239"/>
      <c r="D135" s="238"/>
      <c r="E135" s="238"/>
      <c r="F135" s="239"/>
      <c r="G135" s="239"/>
      <c r="H135" s="238"/>
      <c r="I135" s="238"/>
      <c r="J135" s="309">
        <f t="shared" si="5"/>
        <v>0</v>
      </c>
      <c r="K135" s="309"/>
      <c r="L135" s="343"/>
      <c r="M135" s="22">
        <v>115</v>
      </c>
      <c r="N135" s="239"/>
      <c r="O135" s="239"/>
      <c r="P135" s="238"/>
      <c r="Q135" s="238"/>
      <c r="R135" s="239"/>
      <c r="S135" s="239"/>
      <c r="T135" s="23"/>
      <c r="U135" s="256">
        <f t="shared" si="6"/>
        <v>0</v>
      </c>
      <c r="V135" s="257"/>
      <c r="W135"/>
      <c r="X135"/>
    </row>
    <row r="136" spans="1:24" ht="22.5" customHeight="1" x14ac:dyDescent="0.25">
      <c r="A136" s="14">
        <v>116</v>
      </c>
      <c r="B136" s="252"/>
      <c r="C136" s="252"/>
      <c r="D136" s="251"/>
      <c r="E136" s="251"/>
      <c r="F136" s="252"/>
      <c r="G136" s="252"/>
      <c r="H136" s="251"/>
      <c r="I136" s="251"/>
      <c r="J136" s="323">
        <f t="shared" si="5"/>
        <v>0</v>
      </c>
      <c r="K136" s="324"/>
      <c r="L136" s="343"/>
      <c r="M136" s="15">
        <v>116</v>
      </c>
      <c r="N136" s="260"/>
      <c r="O136" s="260"/>
      <c r="P136" s="259"/>
      <c r="Q136" s="259"/>
      <c r="R136" s="260"/>
      <c r="S136" s="260"/>
      <c r="T136" s="24"/>
      <c r="U136" s="340">
        <f t="shared" si="6"/>
        <v>0</v>
      </c>
      <c r="V136" s="341"/>
      <c r="W136"/>
      <c r="X136"/>
    </row>
    <row r="137" spans="1:24" ht="22.5" customHeight="1" x14ac:dyDescent="0.25">
      <c r="A137" s="22">
        <v>117</v>
      </c>
      <c r="B137" s="239"/>
      <c r="C137" s="239"/>
      <c r="D137" s="238"/>
      <c r="E137" s="238"/>
      <c r="F137" s="239"/>
      <c r="G137" s="239"/>
      <c r="H137" s="238"/>
      <c r="I137" s="238"/>
      <c r="J137" s="309">
        <f t="shared" si="5"/>
        <v>0</v>
      </c>
      <c r="K137" s="309"/>
      <c r="L137" s="343"/>
      <c r="M137" s="22">
        <v>117</v>
      </c>
      <c r="N137" s="239"/>
      <c r="O137" s="239"/>
      <c r="P137" s="238"/>
      <c r="Q137" s="238"/>
      <c r="R137" s="239"/>
      <c r="S137" s="239"/>
      <c r="T137" s="23"/>
      <c r="U137" s="256">
        <f t="shared" si="6"/>
        <v>0</v>
      </c>
      <c r="V137" s="257"/>
      <c r="W137"/>
      <c r="X137"/>
    </row>
    <row r="138" spans="1:24" ht="22.5" customHeight="1" x14ac:dyDescent="0.25">
      <c r="A138" s="14">
        <v>118</v>
      </c>
      <c r="B138" s="252"/>
      <c r="C138" s="252"/>
      <c r="D138" s="251"/>
      <c r="E138" s="251"/>
      <c r="F138" s="252"/>
      <c r="G138" s="252"/>
      <c r="H138" s="251"/>
      <c r="I138" s="251"/>
      <c r="J138" s="323">
        <f t="shared" si="5"/>
        <v>0</v>
      </c>
      <c r="K138" s="324"/>
      <c r="L138" s="343"/>
      <c r="M138" s="15">
        <v>118</v>
      </c>
      <c r="N138" s="260"/>
      <c r="O138" s="260"/>
      <c r="P138" s="259"/>
      <c r="Q138" s="259"/>
      <c r="R138" s="260"/>
      <c r="S138" s="260"/>
      <c r="T138" s="24"/>
      <c r="U138" s="340">
        <f t="shared" si="6"/>
        <v>0</v>
      </c>
      <c r="V138" s="341"/>
      <c r="W138"/>
      <c r="X138"/>
    </row>
    <row r="139" spans="1:24" ht="22.5" customHeight="1" x14ac:dyDescent="0.25">
      <c r="A139" s="22">
        <v>119</v>
      </c>
      <c r="B139" s="239"/>
      <c r="C139" s="239"/>
      <c r="D139" s="238"/>
      <c r="E139" s="238"/>
      <c r="F139" s="239"/>
      <c r="G139" s="239"/>
      <c r="H139" s="238"/>
      <c r="I139" s="238"/>
      <c r="J139" s="309">
        <f t="shared" si="5"/>
        <v>0</v>
      </c>
      <c r="K139" s="309"/>
      <c r="L139" s="343"/>
      <c r="M139" s="22">
        <v>119</v>
      </c>
      <c r="N139" s="239"/>
      <c r="O139" s="239"/>
      <c r="P139" s="238"/>
      <c r="Q139" s="238"/>
      <c r="R139" s="239"/>
      <c r="S139" s="239"/>
      <c r="T139" s="23"/>
      <c r="U139" s="256">
        <f t="shared" si="6"/>
        <v>0</v>
      </c>
      <c r="V139" s="257"/>
      <c r="W139"/>
      <c r="X139"/>
    </row>
    <row r="140" spans="1:24" ht="22.5" customHeight="1" x14ac:dyDescent="0.25">
      <c r="A140" s="14">
        <v>120</v>
      </c>
      <c r="B140" s="252"/>
      <c r="C140" s="252"/>
      <c r="D140" s="251"/>
      <c r="E140" s="251"/>
      <c r="F140" s="252"/>
      <c r="G140" s="252"/>
      <c r="H140" s="251"/>
      <c r="I140" s="251"/>
      <c r="J140" s="323">
        <f t="shared" si="5"/>
        <v>0</v>
      </c>
      <c r="K140" s="324"/>
      <c r="L140" s="343"/>
      <c r="M140" s="15">
        <v>120</v>
      </c>
      <c r="N140" s="260"/>
      <c r="O140" s="260"/>
      <c r="P140" s="259"/>
      <c r="Q140" s="259"/>
      <c r="R140" s="260"/>
      <c r="S140" s="260"/>
      <c r="T140" s="24"/>
      <c r="U140" s="340">
        <f t="shared" si="6"/>
        <v>0</v>
      </c>
      <c r="V140" s="341"/>
      <c r="W140"/>
      <c r="X140"/>
    </row>
    <row r="141" spans="1:24" ht="22.5" customHeight="1" x14ac:dyDescent="0.25">
      <c r="A141" s="22">
        <v>121</v>
      </c>
      <c r="B141" s="239"/>
      <c r="C141" s="239"/>
      <c r="D141" s="238"/>
      <c r="E141" s="238"/>
      <c r="F141" s="239"/>
      <c r="G141" s="239"/>
      <c r="H141" s="238"/>
      <c r="I141" s="238"/>
      <c r="J141" s="309">
        <f t="shared" si="5"/>
        <v>0</v>
      </c>
      <c r="K141" s="309"/>
      <c r="L141" s="343"/>
      <c r="M141" s="22">
        <v>121</v>
      </c>
      <c r="N141" s="239"/>
      <c r="O141" s="239"/>
      <c r="P141" s="238"/>
      <c r="Q141" s="238"/>
      <c r="R141" s="239"/>
      <c r="S141" s="239"/>
      <c r="T141" s="23"/>
      <c r="U141" s="256">
        <f t="shared" si="6"/>
        <v>0</v>
      </c>
      <c r="V141" s="257"/>
      <c r="W141"/>
      <c r="X141"/>
    </row>
    <row r="142" spans="1:24" ht="22.5" customHeight="1" x14ac:dyDescent="0.25">
      <c r="A142" s="14">
        <v>122</v>
      </c>
      <c r="B142" s="252"/>
      <c r="C142" s="252"/>
      <c r="D142" s="251"/>
      <c r="E142" s="251"/>
      <c r="F142" s="252"/>
      <c r="G142" s="252"/>
      <c r="H142" s="251"/>
      <c r="I142" s="251"/>
      <c r="J142" s="323">
        <f t="shared" si="5"/>
        <v>0</v>
      </c>
      <c r="K142" s="324"/>
      <c r="L142" s="343"/>
      <c r="M142" s="15">
        <v>122</v>
      </c>
      <c r="N142" s="260"/>
      <c r="O142" s="260"/>
      <c r="P142" s="259"/>
      <c r="Q142" s="259"/>
      <c r="R142" s="260"/>
      <c r="S142" s="260"/>
      <c r="T142" s="24"/>
      <c r="U142" s="340">
        <f t="shared" si="6"/>
        <v>0</v>
      </c>
      <c r="V142" s="341"/>
      <c r="W142"/>
      <c r="X142"/>
    </row>
    <row r="143" spans="1:24" ht="22.5" customHeight="1" x14ac:dyDescent="0.25">
      <c r="A143" s="22">
        <v>123</v>
      </c>
      <c r="B143" s="239"/>
      <c r="C143" s="239"/>
      <c r="D143" s="238"/>
      <c r="E143" s="238"/>
      <c r="F143" s="239"/>
      <c r="G143" s="239"/>
      <c r="H143" s="238"/>
      <c r="I143" s="238"/>
      <c r="J143" s="309">
        <f t="shared" si="5"/>
        <v>0</v>
      </c>
      <c r="K143" s="309"/>
      <c r="L143" s="343"/>
      <c r="M143" s="22">
        <v>123</v>
      </c>
      <c r="N143" s="239"/>
      <c r="O143" s="239"/>
      <c r="P143" s="238"/>
      <c r="Q143" s="238"/>
      <c r="R143" s="239"/>
      <c r="S143" s="239"/>
      <c r="T143" s="23"/>
      <c r="U143" s="256">
        <f t="shared" si="6"/>
        <v>0</v>
      </c>
      <c r="V143" s="257"/>
      <c r="W143"/>
      <c r="X143"/>
    </row>
    <row r="144" spans="1:24" ht="22.5" customHeight="1" x14ac:dyDescent="0.25">
      <c r="A144" s="14">
        <v>124</v>
      </c>
      <c r="B144" s="252"/>
      <c r="C144" s="252"/>
      <c r="D144" s="251"/>
      <c r="E144" s="251"/>
      <c r="F144" s="252"/>
      <c r="G144" s="252"/>
      <c r="H144" s="251"/>
      <c r="I144" s="251"/>
      <c r="J144" s="323">
        <f t="shared" si="5"/>
        <v>0</v>
      </c>
      <c r="K144" s="324"/>
      <c r="L144" s="343"/>
      <c r="M144" s="15">
        <v>124</v>
      </c>
      <c r="N144" s="260"/>
      <c r="O144" s="260"/>
      <c r="P144" s="259"/>
      <c r="Q144" s="259"/>
      <c r="R144" s="260"/>
      <c r="S144" s="260"/>
      <c r="T144" s="24"/>
      <c r="U144" s="340">
        <f t="shared" si="6"/>
        <v>0</v>
      </c>
      <c r="V144" s="341"/>
      <c r="W144"/>
      <c r="X144"/>
    </row>
    <row r="145" spans="1:24" ht="22.5" customHeight="1" x14ac:dyDescent="0.25">
      <c r="A145" s="22">
        <v>125</v>
      </c>
      <c r="B145" s="239"/>
      <c r="C145" s="239"/>
      <c r="D145" s="238"/>
      <c r="E145" s="238"/>
      <c r="F145" s="239"/>
      <c r="G145" s="239"/>
      <c r="H145" s="238"/>
      <c r="I145" s="238"/>
      <c r="J145" s="309">
        <f t="shared" si="5"/>
        <v>0</v>
      </c>
      <c r="K145" s="309"/>
      <c r="L145" s="343"/>
      <c r="M145" s="22">
        <v>125</v>
      </c>
      <c r="N145" s="239"/>
      <c r="O145" s="239"/>
      <c r="P145" s="238"/>
      <c r="Q145" s="238"/>
      <c r="R145" s="239"/>
      <c r="S145" s="239"/>
      <c r="T145" s="23"/>
      <c r="U145" s="256">
        <f t="shared" si="6"/>
        <v>0</v>
      </c>
      <c r="V145" s="257"/>
      <c r="W145"/>
      <c r="X145"/>
    </row>
    <row r="146" spans="1:24" ht="22.5" customHeight="1" x14ac:dyDescent="0.25">
      <c r="A146" s="14">
        <v>126</v>
      </c>
      <c r="B146" s="252"/>
      <c r="C146" s="252"/>
      <c r="D146" s="251"/>
      <c r="E146" s="251"/>
      <c r="F146" s="252"/>
      <c r="G146" s="252"/>
      <c r="H146" s="251"/>
      <c r="I146" s="251"/>
      <c r="J146" s="323">
        <f t="shared" si="5"/>
        <v>0</v>
      </c>
      <c r="K146" s="324"/>
      <c r="L146" s="343"/>
      <c r="M146" s="15">
        <v>126</v>
      </c>
      <c r="N146" s="260"/>
      <c r="O146" s="260"/>
      <c r="P146" s="259"/>
      <c r="Q146" s="259"/>
      <c r="R146" s="260"/>
      <c r="S146" s="260"/>
      <c r="T146" s="24"/>
      <c r="U146" s="340">
        <f t="shared" si="6"/>
        <v>0</v>
      </c>
      <c r="V146" s="341"/>
      <c r="W146"/>
      <c r="X146"/>
    </row>
    <row r="147" spans="1:24" ht="22.5" customHeight="1" x14ac:dyDescent="0.25">
      <c r="A147" s="22">
        <v>127</v>
      </c>
      <c r="B147" s="239"/>
      <c r="C147" s="239"/>
      <c r="D147" s="238"/>
      <c r="E147" s="238"/>
      <c r="F147" s="239"/>
      <c r="G147" s="239"/>
      <c r="H147" s="238"/>
      <c r="I147" s="238"/>
      <c r="J147" s="309">
        <f t="shared" si="5"/>
        <v>0</v>
      </c>
      <c r="K147" s="309"/>
      <c r="L147" s="343"/>
      <c r="M147" s="22">
        <v>127</v>
      </c>
      <c r="N147" s="239"/>
      <c r="O147" s="239"/>
      <c r="P147" s="238"/>
      <c r="Q147" s="238"/>
      <c r="R147" s="239"/>
      <c r="S147" s="239"/>
      <c r="T147" s="23"/>
      <c r="U147" s="256">
        <f t="shared" si="6"/>
        <v>0</v>
      </c>
      <c r="V147" s="257"/>
      <c r="W147"/>
      <c r="X147"/>
    </row>
    <row r="148" spans="1:24" ht="22.5" customHeight="1" x14ac:dyDescent="0.25">
      <c r="A148" s="14">
        <v>128</v>
      </c>
      <c r="B148" s="252"/>
      <c r="C148" s="252"/>
      <c r="D148" s="251"/>
      <c r="E148" s="251"/>
      <c r="F148" s="252"/>
      <c r="G148" s="252"/>
      <c r="H148" s="251"/>
      <c r="I148" s="251"/>
      <c r="J148" s="323">
        <f t="shared" si="5"/>
        <v>0</v>
      </c>
      <c r="K148" s="324"/>
      <c r="L148" s="343"/>
      <c r="M148" s="15">
        <v>128</v>
      </c>
      <c r="N148" s="260"/>
      <c r="O148" s="260"/>
      <c r="P148" s="259"/>
      <c r="Q148" s="259"/>
      <c r="R148" s="260"/>
      <c r="S148" s="260"/>
      <c r="T148" s="24"/>
      <c r="U148" s="340">
        <f t="shared" si="6"/>
        <v>0</v>
      </c>
      <c r="V148" s="341"/>
      <c r="W148"/>
      <c r="X148"/>
    </row>
    <row r="149" spans="1:24" ht="22.5" customHeight="1" x14ac:dyDescent="0.25">
      <c r="A149" s="22">
        <v>129</v>
      </c>
      <c r="B149" s="239"/>
      <c r="C149" s="239"/>
      <c r="D149" s="238"/>
      <c r="E149" s="238"/>
      <c r="F149" s="239"/>
      <c r="G149" s="239"/>
      <c r="H149" s="238"/>
      <c r="I149" s="238"/>
      <c r="J149" s="309">
        <f t="shared" si="5"/>
        <v>0</v>
      </c>
      <c r="K149" s="309"/>
      <c r="L149" s="343"/>
      <c r="M149" s="22">
        <v>129</v>
      </c>
      <c r="N149" s="239"/>
      <c r="O149" s="239"/>
      <c r="P149" s="238"/>
      <c r="Q149" s="238"/>
      <c r="R149" s="239"/>
      <c r="S149" s="239"/>
      <c r="T149" s="23"/>
      <c r="U149" s="256">
        <f t="shared" si="6"/>
        <v>0</v>
      </c>
      <c r="V149" s="257"/>
      <c r="W149"/>
      <c r="X149"/>
    </row>
    <row r="150" spans="1:24" ht="22.5" customHeight="1" x14ac:dyDescent="0.25">
      <c r="A150" s="14">
        <v>130</v>
      </c>
      <c r="B150" s="252"/>
      <c r="C150" s="252"/>
      <c r="D150" s="251"/>
      <c r="E150" s="251"/>
      <c r="F150" s="252"/>
      <c r="G150" s="252"/>
      <c r="H150" s="251"/>
      <c r="I150" s="251"/>
      <c r="J150" s="323">
        <f t="shared" ref="J150:J213" si="7">D150*F150+H150</f>
        <v>0</v>
      </c>
      <c r="K150" s="324"/>
      <c r="L150" s="343"/>
      <c r="M150" s="15">
        <v>130</v>
      </c>
      <c r="N150" s="260"/>
      <c r="O150" s="260"/>
      <c r="P150" s="259"/>
      <c r="Q150" s="259"/>
      <c r="R150" s="260"/>
      <c r="S150" s="260"/>
      <c r="T150" s="24"/>
      <c r="U150" s="340">
        <f t="shared" si="6"/>
        <v>0</v>
      </c>
      <c r="V150" s="341"/>
      <c r="W150"/>
      <c r="X150"/>
    </row>
    <row r="151" spans="1:24" ht="22.5" customHeight="1" x14ac:dyDescent="0.25">
      <c r="A151" s="22">
        <v>131</v>
      </c>
      <c r="B151" s="239"/>
      <c r="C151" s="239"/>
      <c r="D151" s="238"/>
      <c r="E151" s="238"/>
      <c r="F151" s="239"/>
      <c r="G151" s="239"/>
      <c r="H151" s="238"/>
      <c r="I151" s="238"/>
      <c r="J151" s="309">
        <f t="shared" si="7"/>
        <v>0</v>
      </c>
      <c r="K151" s="309"/>
      <c r="L151" s="343"/>
      <c r="M151" s="22">
        <v>131</v>
      </c>
      <c r="N151" s="239"/>
      <c r="O151" s="239"/>
      <c r="P151" s="238"/>
      <c r="Q151" s="238"/>
      <c r="R151" s="239"/>
      <c r="S151" s="239"/>
      <c r="T151" s="23"/>
      <c r="U151" s="256">
        <f t="shared" ref="U151:U170" si="8">P151+R151</f>
        <v>0</v>
      </c>
      <c r="V151" s="257"/>
      <c r="W151"/>
      <c r="X151"/>
    </row>
    <row r="152" spans="1:24" ht="22.5" customHeight="1" x14ac:dyDescent="0.25">
      <c r="A152" s="14">
        <v>132</v>
      </c>
      <c r="B152" s="252"/>
      <c r="C152" s="252"/>
      <c r="D152" s="251"/>
      <c r="E152" s="251"/>
      <c r="F152" s="252"/>
      <c r="G152" s="252"/>
      <c r="H152" s="251"/>
      <c r="I152" s="251"/>
      <c r="J152" s="323">
        <f t="shared" si="7"/>
        <v>0</v>
      </c>
      <c r="K152" s="324"/>
      <c r="L152" s="343"/>
      <c r="M152" s="15">
        <v>132</v>
      </c>
      <c r="N152" s="260"/>
      <c r="O152" s="260"/>
      <c r="P152" s="259"/>
      <c r="Q152" s="259"/>
      <c r="R152" s="260"/>
      <c r="S152" s="260"/>
      <c r="T152" s="24"/>
      <c r="U152" s="340">
        <f t="shared" si="8"/>
        <v>0</v>
      </c>
      <c r="V152" s="341"/>
      <c r="W152"/>
      <c r="X152"/>
    </row>
    <row r="153" spans="1:24" ht="22.5" customHeight="1" x14ac:dyDescent="0.25">
      <c r="A153" s="22">
        <v>133</v>
      </c>
      <c r="B153" s="239"/>
      <c r="C153" s="239"/>
      <c r="D153" s="238"/>
      <c r="E153" s="238"/>
      <c r="F153" s="239"/>
      <c r="G153" s="239"/>
      <c r="H153" s="238"/>
      <c r="I153" s="238"/>
      <c r="J153" s="309">
        <f t="shared" si="7"/>
        <v>0</v>
      </c>
      <c r="K153" s="309"/>
      <c r="L153" s="343"/>
      <c r="M153" s="22">
        <v>133</v>
      </c>
      <c r="N153" s="239"/>
      <c r="O153" s="239"/>
      <c r="P153" s="238"/>
      <c r="Q153" s="238"/>
      <c r="R153" s="239"/>
      <c r="S153" s="239"/>
      <c r="T153" s="23"/>
      <c r="U153" s="256">
        <f t="shared" si="8"/>
        <v>0</v>
      </c>
      <c r="V153" s="257"/>
      <c r="W153"/>
      <c r="X153"/>
    </row>
    <row r="154" spans="1:24" ht="22.5" customHeight="1" x14ac:dyDescent="0.25">
      <c r="A154" s="14">
        <v>134</v>
      </c>
      <c r="B154" s="252"/>
      <c r="C154" s="252"/>
      <c r="D154" s="251"/>
      <c r="E154" s="251"/>
      <c r="F154" s="252"/>
      <c r="G154" s="252"/>
      <c r="H154" s="251"/>
      <c r="I154" s="251"/>
      <c r="J154" s="323">
        <f t="shared" si="7"/>
        <v>0</v>
      </c>
      <c r="K154" s="324"/>
      <c r="L154" s="343"/>
      <c r="M154" s="15">
        <v>134</v>
      </c>
      <c r="N154" s="260"/>
      <c r="O154" s="260"/>
      <c r="P154" s="259"/>
      <c r="Q154" s="259"/>
      <c r="R154" s="260"/>
      <c r="S154" s="260"/>
      <c r="T154" s="24"/>
      <c r="U154" s="340">
        <f t="shared" si="8"/>
        <v>0</v>
      </c>
      <c r="V154" s="341"/>
      <c r="W154"/>
      <c r="X154"/>
    </row>
    <row r="155" spans="1:24" ht="22.5" customHeight="1" x14ac:dyDescent="0.25">
      <c r="A155" s="22">
        <v>135</v>
      </c>
      <c r="B155" s="239"/>
      <c r="C155" s="239"/>
      <c r="D155" s="238"/>
      <c r="E155" s="238"/>
      <c r="F155" s="239"/>
      <c r="G155" s="239"/>
      <c r="H155" s="238"/>
      <c r="I155" s="238"/>
      <c r="J155" s="309">
        <f t="shared" si="7"/>
        <v>0</v>
      </c>
      <c r="K155" s="309"/>
      <c r="L155" s="343"/>
      <c r="M155" s="22">
        <v>135</v>
      </c>
      <c r="N155" s="239"/>
      <c r="O155" s="239"/>
      <c r="P155" s="238"/>
      <c r="Q155" s="238"/>
      <c r="R155" s="239"/>
      <c r="S155" s="239"/>
      <c r="T155" s="23"/>
      <c r="U155" s="256">
        <f t="shared" si="8"/>
        <v>0</v>
      </c>
      <c r="V155" s="257"/>
      <c r="W155"/>
      <c r="X155"/>
    </row>
    <row r="156" spans="1:24" ht="22.5" customHeight="1" x14ac:dyDescent="0.25">
      <c r="A156" s="14">
        <v>136</v>
      </c>
      <c r="B156" s="252"/>
      <c r="C156" s="252"/>
      <c r="D156" s="251"/>
      <c r="E156" s="251"/>
      <c r="F156" s="252"/>
      <c r="G156" s="252"/>
      <c r="H156" s="251"/>
      <c r="I156" s="251"/>
      <c r="J156" s="323">
        <f t="shared" si="7"/>
        <v>0</v>
      </c>
      <c r="K156" s="324"/>
      <c r="L156" s="343"/>
      <c r="M156" s="15">
        <v>136</v>
      </c>
      <c r="N156" s="260"/>
      <c r="O156" s="260"/>
      <c r="P156" s="259"/>
      <c r="Q156" s="259"/>
      <c r="R156" s="260"/>
      <c r="S156" s="260"/>
      <c r="T156" s="24"/>
      <c r="U156" s="340">
        <f t="shared" si="8"/>
        <v>0</v>
      </c>
      <c r="V156" s="341"/>
      <c r="W156"/>
      <c r="X156"/>
    </row>
    <row r="157" spans="1:24" ht="22.5" customHeight="1" x14ac:dyDescent="0.25">
      <c r="A157" s="22">
        <v>137</v>
      </c>
      <c r="B157" s="239"/>
      <c r="C157" s="239"/>
      <c r="D157" s="238"/>
      <c r="E157" s="238"/>
      <c r="F157" s="239"/>
      <c r="G157" s="239"/>
      <c r="H157" s="238"/>
      <c r="I157" s="238"/>
      <c r="J157" s="309">
        <f t="shared" si="7"/>
        <v>0</v>
      </c>
      <c r="K157" s="309"/>
      <c r="L157" s="343"/>
      <c r="M157" s="22">
        <v>137</v>
      </c>
      <c r="N157" s="239"/>
      <c r="O157" s="239"/>
      <c r="P157" s="238"/>
      <c r="Q157" s="238"/>
      <c r="R157" s="239"/>
      <c r="S157" s="239"/>
      <c r="T157" s="23"/>
      <c r="U157" s="256">
        <f t="shared" si="8"/>
        <v>0</v>
      </c>
      <c r="V157" s="257"/>
      <c r="W157"/>
      <c r="X157"/>
    </row>
    <row r="158" spans="1:24" ht="22.5" customHeight="1" x14ac:dyDescent="0.25">
      <c r="A158" s="14">
        <v>138</v>
      </c>
      <c r="B158" s="252"/>
      <c r="C158" s="252"/>
      <c r="D158" s="251"/>
      <c r="E158" s="251"/>
      <c r="F158" s="252"/>
      <c r="G158" s="252"/>
      <c r="H158" s="251"/>
      <c r="I158" s="251"/>
      <c r="J158" s="323">
        <f t="shared" si="7"/>
        <v>0</v>
      </c>
      <c r="K158" s="324"/>
      <c r="L158" s="343"/>
      <c r="M158" s="15">
        <v>138</v>
      </c>
      <c r="N158" s="260"/>
      <c r="O158" s="260"/>
      <c r="P158" s="259"/>
      <c r="Q158" s="259"/>
      <c r="R158" s="260"/>
      <c r="S158" s="260"/>
      <c r="T158" s="24"/>
      <c r="U158" s="340">
        <f t="shared" si="8"/>
        <v>0</v>
      </c>
      <c r="V158" s="341"/>
      <c r="W158"/>
      <c r="X158"/>
    </row>
    <row r="159" spans="1:24" ht="22.5" customHeight="1" x14ac:dyDescent="0.25">
      <c r="A159" s="22">
        <v>139</v>
      </c>
      <c r="B159" s="239"/>
      <c r="C159" s="239"/>
      <c r="D159" s="238"/>
      <c r="E159" s="238"/>
      <c r="F159" s="239"/>
      <c r="G159" s="239"/>
      <c r="H159" s="238"/>
      <c r="I159" s="238"/>
      <c r="J159" s="309">
        <f t="shared" si="7"/>
        <v>0</v>
      </c>
      <c r="K159" s="309"/>
      <c r="L159" s="343"/>
      <c r="M159" s="22">
        <v>139</v>
      </c>
      <c r="N159" s="239"/>
      <c r="O159" s="239"/>
      <c r="P159" s="238"/>
      <c r="Q159" s="238"/>
      <c r="R159" s="239"/>
      <c r="S159" s="239"/>
      <c r="T159" s="23"/>
      <c r="U159" s="256">
        <f t="shared" si="8"/>
        <v>0</v>
      </c>
      <c r="V159" s="257"/>
      <c r="W159"/>
      <c r="X159"/>
    </row>
    <row r="160" spans="1:24" ht="22.5" customHeight="1" x14ac:dyDescent="0.25">
      <c r="A160" s="14">
        <v>140</v>
      </c>
      <c r="B160" s="252"/>
      <c r="C160" s="252"/>
      <c r="D160" s="251"/>
      <c r="E160" s="251"/>
      <c r="F160" s="252"/>
      <c r="G160" s="252"/>
      <c r="H160" s="251"/>
      <c r="I160" s="251"/>
      <c r="J160" s="323">
        <f t="shared" si="7"/>
        <v>0</v>
      </c>
      <c r="K160" s="324"/>
      <c r="L160" s="343"/>
      <c r="M160" s="15">
        <v>140</v>
      </c>
      <c r="N160" s="260"/>
      <c r="O160" s="260"/>
      <c r="P160" s="259"/>
      <c r="Q160" s="259"/>
      <c r="R160" s="260"/>
      <c r="S160" s="260"/>
      <c r="T160" s="24"/>
      <c r="U160" s="340">
        <f t="shared" si="8"/>
        <v>0</v>
      </c>
      <c r="V160" s="341"/>
      <c r="W160"/>
      <c r="X160"/>
    </row>
    <row r="161" spans="1:24" ht="22.5" customHeight="1" x14ac:dyDescent="0.25">
      <c r="A161" s="22">
        <v>141</v>
      </c>
      <c r="B161" s="239"/>
      <c r="C161" s="239"/>
      <c r="D161" s="238"/>
      <c r="E161" s="238"/>
      <c r="F161" s="239"/>
      <c r="G161" s="239"/>
      <c r="H161" s="238"/>
      <c r="I161" s="238"/>
      <c r="J161" s="309">
        <f t="shared" si="7"/>
        <v>0</v>
      </c>
      <c r="K161" s="309"/>
      <c r="L161" s="343"/>
      <c r="M161" s="22">
        <v>141</v>
      </c>
      <c r="N161" s="239"/>
      <c r="O161" s="239"/>
      <c r="P161" s="238"/>
      <c r="Q161" s="238"/>
      <c r="R161" s="239"/>
      <c r="S161" s="239"/>
      <c r="T161" s="23"/>
      <c r="U161" s="256">
        <f t="shared" si="8"/>
        <v>0</v>
      </c>
      <c r="V161" s="257"/>
      <c r="W161"/>
      <c r="X161"/>
    </row>
    <row r="162" spans="1:24" ht="22.5" customHeight="1" x14ac:dyDescent="0.25">
      <c r="A162" s="14">
        <v>142</v>
      </c>
      <c r="B162" s="252"/>
      <c r="C162" s="252"/>
      <c r="D162" s="251"/>
      <c r="E162" s="251"/>
      <c r="F162" s="252"/>
      <c r="G162" s="252"/>
      <c r="H162" s="251"/>
      <c r="I162" s="251"/>
      <c r="J162" s="323">
        <f t="shared" si="7"/>
        <v>0</v>
      </c>
      <c r="K162" s="324"/>
      <c r="L162" s="343"/>
      <c r="M162" s="15">
        <v>142</v>
      </c>
      <c r="N162" s="260"/>
      <c r="O162" s="260"/>
      <c r="P162" s="259"/>
      <c r="Q162" s="259"/>
      <c r="R162" s="260"/>
      <c r="S162" s="260"/>
      <c r="T162" s="24"/>
      <c r="U162" s="340">
        <f t="shared" si="8"/>
        <v>0</v>
      </c>
      <c r="V162" s="341"/>
      <c r="W162"/>
      <c r="X162"/>
    </row>
    <row r="163" spans="1:24" ht="22.5" customHeight="1" x14ac:dyDescent="0.25">
      <c r="A163" s="22">
        <v>143</v>
      </c>
      <c r="B163" s="239"/>
      <c r="C163" s="239"/>
      <c r="D163" s="238"/>
      <c r="E163" s="238"/>
      <c r="F163" s="239"/>
      <c r="G163" s="239"/>
      <c r="H163" s="238"/>
      <c r="I163" s="238"/>
      <c r="J163" s="309">
        <f t="shared" si="7"/>
        <v>0</v>
      </c>
      <c r="K163" s="309"/>
      <c r="L163" s="343"/>
      <c r="M163" s="22">
        <v>143</v>
      </c>
      <c r="N163" s="239"/>
      <c r="O163" s="239"/>
      <c r="P163" s="238"/>
      <c r="Q163" s="238"/>
      <c r="R163" s="239"/>
      <c r="S163" s="239"/>
      <c r="T163" s="23"/>
      <c r="U163" s="256">
        <f t="shared" si="8"/>
        <v>0</v>
      </c>
      <c r="V163" s="257"/>
      <c r="W163"/>
      <c r="X163"/>
    </row>
    <row r="164" spans="1:24" ht="22.5" customHeight="1" x14ac:dyDescent="0.25">
      <c r="A164" s="14">
        <v>144</v>
      </c>
      <c r="B164" s="252"/>
      <c r="C164" s="252"/>
      <c r="D164" s="251"/>
      <c r="E164" s="251"/>
      <c r="F164" s="252"/>
      <c r="G164" s="252"/>
      <c r="H164" s="251"/>
      <c r="I164" s="251"/>
      <c r="J164" s="323">
        <f t="shared" si="7"/>
        <v>0</v>
      </c>
      <c r="K164" s="324"/>
      <c r="L164" s="343"/>
      <c r="M164" s="15">
        <v>144</v>
      </c>
      <c r="N164" s="260"/>
      <c r="O164" s="260"/>
      <c r="P164" s="259"/>
      <c r="Q164" s="259"/>
      <c r="R164" s="260"/>
      <c r="S164" s="260"/>
      <c r="T164" s="24"/>
      <c r="U164" s="340">
        <f t="shared" si="8"/>
        <v>0</v>
      </c>
      <c r="V164" s="341"/>
      <c r="W164"/>
      <c r="X164"/>
    </row>
    <row r="165" spans="1:24" ht="22.5" customHeight="1" x14ac:dyDescent="0.25">
      <c r="A165" s="22">
        <v>145</v>
      </c>
      <c r="B165" s="239"/>
      <c r="C165" s="239"/>
      <c r="D165" s="238"/>
      <c r="E165" s="238"/>
      <c r="F165" s="239"/>
      <c r="G165" s="239"/>
      <c r="H165" s="238"/>
      <c r="I165" s="238"/>
      <c r="J165" s="309">
        <f t="shared" si="7"/>
        <v>0</v>
      </c>
      <c r="K165" s="309"/>
      <c r="L165" s="343"/>
      <c r="M165" s="22">
        <v>145</v>
      </c>
      <c r="N165" s="239"/>
      <c r="O165" s="239"/>
      <c r="P165" s="238"/>
      <c r="Q165" s="238"/>
      <c r="R165" s="239"/>
      <c r="S165" s="239"/>
      <c r="T165" s="23"/>
      <c r="U165" s="256">
        <f t="shared" si="8"/>
        <v>0</v>
      </c>
      <c r="V165" s="257"/>
      <c r="W165"/>
      <c r="X165"/>
    </row>
    <row r="166" spans="1:24" ht="22.5" customHeight="1" x14ac:dyDescent="0.25">
      <c r="A166" s="14">
        <v>146</v>
      </c>
      <c r="B166" s="252"/>
      <c r="C166" s="252"/>
      <c r="D166" s="251"/>
      <c r="E166" s="251"/>
      <c r="F166" s="252"/>
      <c r="G166" s="252"/>
      <c r="H166" s="251"/>
      <c r="I166" s="251"/>
      <c r="J166" s="323">
        <f t="shared" si="7"/>
        <v>0</v>
      </c>
      <c r="K166" s="324"/>
      <c r="L166" s="343"/>
      <c r="M166" s="15">
        <v>146</v>
      </c>
      <c r="N166" s="260"/>
      <c r="O166" s="260"/>
      <c r="P166" s="259"/>
      <c r="Q166" s="259"/>
      <c r="R166" s="260"/>
      <c r="S166" s="260"/>
      <c r="T166" s="24"/>
      <c r="U166" s="340">
        <f t="shared" si="8"/>
        <v>0</v>
      </c>
      <c r="V166" s="341"/>
      <c r="W166"/>
      <c r="X166"/>
    </row>
    <row r="167" spans="1:24" ht="22.5" customHeight="1" x14ac:dyDescent="0.25">
      <c r="A167" s="22">
        <v>147</v>
      </c>
      <c r="B167" s="239"/>
      <c r="C167" s="239"/>
      <c r="D167" s="238"/>
      <c r="E167" s="238"/>
      <c r="F167" s="239"/>
      <c r="G167" s="239"/>
      <c r="H167" s="238"/>
      <c r="I167" s="238"/>
      <c r="J167" s="309">
        <f t="shared" si="7"/>
        <v>0</v>
      </c>
      <c r="K167" s="309"/>
      <c r="L167" s="343"/>
      <c r="M167" s="22">
        <v>147</v>
      </c>
      <c r="N167" s="239"/>
      <c r="O167" s="239"/>
      <c r="P167" s="238"/>
      <c r="Q167" s="238"/>
      <c r="R167" s="239"/>
      <c r="S167" s="239"/>
      <c r="T167" s="23"/>
      <c r="U167" s="256">
        <f t="shared" si="8"/>
        <v>0</v>
      </c>
      <c r="V167" s="257"/>
      <c r="W167"/>
      <c r="X167"/>
    </row>
    <row r="168" spans="1:24" ht="22.5" customHeight="1" x14ac:dyDescent="0.25">
      <c r="A168" s="14">
        <v>148</v>
      </c>
      <c r="B168" s="252"/>
      <c r="C168" s="252"/>
      <c r="D168" s="251"/>
      <c r="E168" s="251"/>
      <c r="F168" s="252"/>
      <c r="G168" s="252"/>
      <c r="H168" s="251"/>
      <c r="I168" s="251"/>
      <c r="J168" s="323">
        <f t="shared" si="7"/>
        <v>0</v>
      </c>
      <c r="K168" s="324"/>
      <c r="L168" s="343"/>
      <c r="M168" s="15">
        <v>148</v>
      </c>
      <c r="N168" s="260"/>
      <c r="O168" s="260"/>
      <c r="P168" s="259"/>
      <c r="Q168" s="259"/>
      <c r="R168" s="260"/>
      <c r="S168" s="260"/>
      <c r="T168" s="24"/>
      <c r="U168" s="340">
        <f t="shared" si="8"/>
        <v>0</v>
      </c>
      <c r="V168" s="341"/>
      <c r="W168"/>
      <c r="X168"/>
    </row>
    <row r="169" spans="1:24" ht="22.5" customHeight="1" x14ac:dyDescent="0.25">
      <c r="A169" s="22">
        <v>149</v>
      </c>
      <c r="B169" s="239"/>
      <c r="C169" s="239"/>
      <c r="D169" s="238"/>
      <c r="E169" s="238"/>
      <c r="F169" s="239"/>
      <c r="G169" s="239"/>
      <c r="H169" s="238"/>
      <c r="I169" s="238"/>
      <c r="J169" s="309">
        <f t="shared" si="7"/>
        <v>0</v>
      </c>
      <c r="K169" s="309"/>
      <c r="L169" s="343"/>
      <c r="M169" s="22">
        <v>149</v>
      </c>
      <c r="N169" s="239"/>
      <c r="O169" s="239"/>
      <c r="P169" s="238"/>
      <c r="Q169" s="238"/>
      <c r="R169" s="239"/>
      <c r="S169" s="239"/>
      <c r="T169" s="23"/>
      <c r="U169" s="256">
        <f t="shared" si="8"/>
        <v>0</v>
      </c>
      <c r="V169" s="257"/>
      <c r="W169"/>
      <c r="X169"/>
    </row>
    <row r="170" spans="1:24" ht="22.5" customHeight="1" x14ac:dyDescent="0.25">
      <c r="A170" s="14">
        <v>150</v>
      </c>
      <c r="B170" s="252"/>
      <c r="C170" s="252"/>
      <c r="D170" s="251"/>
      <c r="E170" s="251"/>
      <c r="F170" s="252"/>
      <c r="G170" s="252"/>
      <c r="H170" s="251"/>
      <c r="I170" s="251"/>
      <c r="J170" s="323">
        <f t="shared" si="7"/>
        <v>0</v>
      </c>
      <c r="K170" s="324"/>
      <c r="L170" s="343"/>
      <c r="M170" s="15">
        <v>150</v>
      </c>
      <c r="N170" s="260"/>
      <c r="O170" s="260"/>
      <c r="P170" s="259"/>
      <c r="Q170" s="259"/>
      <c r="R170" s="260"/>
      <c r="S170" s="260"/>
      <c r="T170" s="24"/>
      <c r="U170" s="340">
        <f t="shared" si="8"/>
        <v>0</v>
      </c>
      <c r="V170" s="341"/>
      <c r="W170"/>
      <c r="X170"/>
    </row>
    <row r="171" spans="1:24" ht="22.5" customHeight="1" x14ac:dyDescent="0.25">
      <c r="A171" s="22">
        <v>151</v>
      </c>
      <c r="B171" s="239"/>
      <c r="C171" s="239"/>
      <c r="D171" s="238"/>
      <c r="E171" s="238"/>
      <c r="F171" s="239"/>
      <c r="G171" s="239"/>
      <c r="H171" s="238"/>
      <c r="I171" s="238"/>
      <c r="J171" s="309">
        <f t="shared" si="7"/>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7"/>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7"/>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7"/>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7"/>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7"/>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7"/>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7"/>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7"/>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7"/>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7"/>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7"/>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7"/>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7"/>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7"/>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7"/>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7"/>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7"/>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7"/>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7"/>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7"/>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7"/>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7"/>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7"/>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7"/>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7"/>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7"/>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7"/>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7"/>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7"/>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7"/>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7"/>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7"/>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7"/>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7"/>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7"/>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7"/>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7"/>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7"/>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7"/>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7"/>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7"/>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7"/>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9">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9"/>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9"/>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9"/>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9"/>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9"/>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9"/>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W0WnLCjK+T9O2N+tT8TPRYz6xs/EM7RU4bMcSAfLJoRWlfkVv+oSMz1hLvR0bgCgrX/IF27ddRMEYTlNRtGVVw==" saltValue="3AB9APQKfTWn7NT2gHUTbg=="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{85697A27-3682-4D7F-A23C-B3B1A512FFD6}</x14:id>
        </ext>
      </extLst>
    </cfRule>
  </conditionalFormatting>
  <conditionalFormatting sqref="U10:X11">
    <cfRule type="cellIs" dxfId="35" priority="3" operator="greaterThan">
      <formula>0</formula>
    </cfRule>
    <cfRule type="cellIs" dxfId="34" priority="4" operator="lessThan">
      <formula>0</formula>
    </cfRule>
  </conditionalFormatting>
  <conditionalFormatting sqref="F10:H11">
    <cfRule type="cellIs" dxfId="33" priority="1" operator="greaterThan">
      <formula>0</formula>
    </cfRule>
    <cfRule type="cellIs" dxfId="32"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85697A27-3682-4D7F-A23C-B3B1A512FFD6}">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6"/>
  <dimension ref="A1:AA263"/>
  <sheetViews>
    <sheetView showGridLines="0" zoomScale="70" zoomScaleNormal="70" workbookViewId="0">
      <selection activeCell="F25" sqref="F25:G25"/>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761</v>
      </c>
      <c r="B1" s="262"/>
      <c r="C1" s="313" t="str">
        <f>'Hisse İsimleri'!B9</f>
        <v>Hisse8</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İsimleri'!D9</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İsimleri'!E9</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jWgCIHo2xNXIcl/FJPWzRyFWitxU+jW5D57skIKMfu494aYNhY+Z1E0w9BpmiDEZHnl7EXhpWQEQSj5K24Xtfg==" saltValue="Y3p2HkXhzfKXSaNr22Cx3A=="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{172A346C-601C-427E-A3FE-A2CCC5088E49}</x14:id>
        </ext>
      </extLst>
    </cfRule>
  </conditionalFormatting>
  <conditionalFormatting sqref="U10:X11">
    <cfRule type="cellIs" dxfId="31" priority="3" operator="greaterThan">
      <formula>0</formula>
    </cfRule>
    <cfRule type="cellIs" dxfId="30" priority="4" operator="lessThan">
      <formula>0</formula>
    </cfRule>
  </conditionalFormatting>
  <conditionalFormatting sqref="F10:H11">
    <cfRule type="cellIs" dxfId="29" priority="1" operator="greaterThan">
      <formula>0</formula>
    </cfRule>
    <cfRule type="cellIs" dxfId="28"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172A346C-601C-427E-A3FE-A2CCC5088E49}">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5"/>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760</v>
      </c>
      <c r="B1" s="262"/>
      <c r="C1" s="313" t="str">
        <f>'Hisse İsimleri'!B10</f>
        <v>Hisse9</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İsimleri'!D10</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İsimleri'!E10</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4/BpWlFqIOCkrfvFWi4jNQUow4eafJR3YnutdEWbPslV8P7Joi7NUUaeQHRr8WNgbpOLfeM+mwKrq1MsU9CNIQ==" saltValue="2hSm7TTVngyMaCLpwfWgDA=="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{B6EB4E71-9B27-4829-B213-6CB37A25A9A1}</x14:id>
        </ext>
      </extLst>
    </cfRule>
  </conditionalFormatting>
  <conditionalFormatting sqref="U10:X11">
    <cfRule type="cellIs" dxfId="27" priority="3" operator="greaterThan">
      <formula>0</formula>
    </cfRule>
    <cfRule type="cellIs" dxfId="26" priority="4" operator="lessThan">
      <formula>0</formula>
    </cfRule>
  </conditionalFormatting>
  <conditionalFormatting sqref="F10:H11">
    <cfRule type="cellIs" dxfId="25" priority="1" operator="greaterThan">
      <formula>0</formula>
    </cfRule>
    <cfRule type="cellIs" dxfId="24"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B6EB4E71-9B27-4829-B213-6CB37A25A9A1}">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4"/>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759</v>
      </c>
      <c r="B1" s="262"/>
      <c r="C1" s="313" t="str">
        <f>'Hisse İsimleri'!B11</f>
        <v>Hisse10</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İsimleri'!D11</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İsimleri'!E11</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K+sSrT5v5EQm71I08+jqHadVsZaywraaDhmy8CNN8NUFNMhWY/VxnSElnFfF82bFhvNJUMom/W1F8UfhRWzvOQ==" saltValue="7fUfo6SfVue83NS+uL9e9g=="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{A28C1607-55B6-488F-92AD-1E091E54C132}</x14:id>
        </ext>
      </extLst>
    </cfRule>
  </conditionalFormatting>
  <conditionalFormatting sqref="U10:X11">
    <cfRule type="cellIs" dxfId="23" priority="3" operator="greaterThan">
      <formula>0</formula>
    </cfRule>
    <cfRule type="cellIs" dxfId="22" priority="4" operator="lessThan">
      <formula>0</formula>
    </cfRule>
  </conditionalFormatting>
  <conditionalFormatting sqref="F10:H11">
    <cfRule type="cellIs" dxfId="21" priority="1" operator="greaterThan">
      <formula>0</formula>
    </cfRule>
    <cfRule type="cellIs" dxfId="20"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A28C1607-55B6-488F-92AD-1E091E54C132}">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2"/>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768</v>
      </c>
      <c r="B1" s="262"/>
      <c r="C1" s="313" t="str">
        <f>'Hisse İsimleri'!B12</f>
        <v>Hisse11</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İsimleri'!D12</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İsimleri'!E12</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EWjUavV/Mur+iLjuA/9s2Zjmxj1pLedz9hE6GojH2/NFIzpdpSH8bZdUZDCn6XEkx6TYSFmt8EiiiBwBhBxFfQ==" saltValue="/W9BHiJkz4UMhGeDtr/KOg=="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{6BC152FE-C19C-425F-B099-7E4B8390D7FB}</x14:id>
        </ext>
      </extLst>
    </cfRule>
  </conditionalFormatting>
  <conditionalFormatting sqref="U10:X11">
    <cfRule type="cellIs" dxfId="19" priority="3" operator="greaterThan">
      <formula>0</formula>
    </cfRule>
    <cfRule type="cellIs" dxfId="18" priority="4" operator="lessThan">
      <formula>0</formula>
    </cfRule>
  </conditionalFormatting>
  <conditionalFormatting sqref="F10:H11">
    <cfRule type="cellIs" dxfId="17" priority="1" operator="greaterThan">
      <formula>0</formula>
    </cfRule>
    <cfRule type="cellIs" dxfId="16"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6BC152FE-C19C-425F-B099-7E4B8390D7FB}">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1"/>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769</v>
      </c>
      <c r="B1" s="262"/>
      <c r="C1" s="313" t="str">
        <f>'Hisse İsimleri'!B13</f>
        <v>Hisse12</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İsimleri'!D13</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İsimleri'!E13</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oS0R5uSJq5qBao++jlR3h0nNBqvQ1UPkwFaB4DrfYvuIzLhskn2aFNVM/aAGt0o6gLisvLllJ19UNqVOjumuag==" saltValue="y521v79SkzFhlu6IBEa5hg=="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{64989A9F-C1BB-4FD6-8A01-787A35A32098}</x14:id>
        </ext>
      </extLst>
    </cfRule>
  </conditionalFormatting>
  <conditionalFormatting sqref="U10:X11">
    <cfRule type="cellIs" dxfId="15" priority="3" operator="greaterThan">
      <formula>0</formula>
    </cfRule>
    <cfRule type="cellIs" dxfId="14" priority="4" operator="lessThan">
      <formula>0</formula>
    </cfRule>
  </conditionalFormatting>
  <conditionalFormatting sqref="F10:H11">
    <cfRule type="cellIs" dxfId="13" priority="1" operator="greaterThan">
      <formula>0</formula>
    </cfRule>
    <cfRule type="cellIs" dxfId="12"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64989A9F-C1BB-4FD6-8A01-787A35A32098}">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0"/>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770</v>
      </c>
      <c r="B1" s="262"/>
      <c r="C1" s="313" t="str">
        <f>'Hisse İsimleri'!B14</f>
        <v>Hisse13</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İsimleri'!D14</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İsimleri'!E14</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a9Vb+vPS1tpQXtvf6IUHRjXaxUQlGL4UzBrspmxjQPmC86HbcJK9zUbkF1Sur+EY+182WB/DTOMKjHNVeGnxIA==" saltValue="JvSVtAgeRrBG0cRQQpwmyw=="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{E53696A4-0171-4DE6-9BE6-34EBDA264B13}</x14:id>
        </ext>
      </extLst>
    </cfRule>
  </conditionalFormatting>
  <conditionalFormatting sqref="U10:X11">
    <cfRule type="cellIs" dxfId="11" priority="3" operator="greaterThan">
      <formula>0</formula>
    </cfRule>
    <cfRule type="cellIs" dxfId="10" priority="4" operator="lessThan">
      <formula>0</formula>
    </cfRule>
  </conditionalFormatting>
  <conditionalFormatting sqref="F10:H11">
    <cfRule type="cellIs" dxfId="9" priority="1" operator="greaterThan">
      <formula>0</formula>
    </cfRule>
    <cfRule type="cellIs" dxfId="8"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E53696A4-0171-4DE6-9BE6-34EBDA264B13}">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9"/>
  <dimension ref="A1:AA263"/>
  <sheetViews>
    <sheetView showGridLines="0" zoomScale="70" zoomScaleNormal="70" workbookViewId="0">
      <selection activeCell="F6" sqref="F6:H7"/>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771</v>
      </c>
      <c r="B1" s="262"/>
      <c r="C1" s="313" t="str">
        <f>'Hisse İsimleri'!B15</f>
        <v>Hisse14</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İsimleri'!D15</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İsimleri'!E15</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UeL5JqgEMVCoiEjxq5RuuZ84AJjqOJMN9nbx7ePxaALsI36lPKdPtu9Xn5G/7V8Gv8P90nDG7hgml5jLHi+0DQ==" saltValue="53c3EKzIv9JWW66wX2fIIQ=="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{BAE936E1-8472-41E0-BC11-74A6F12311F7}</x14:id>
        </ext>
      </extLst>
    </cfRule>
  </conditionalFormatting>
  <conditionalFormatting sqref="U10:X11">
    <cfRule type="cellIs" dxfId="7" priority="3" operator="greaterThan">
      <formula>0</formula>
    </cfRule>
    <cfRule type="cellIs" dxfId="6" priority="4" operator="lessThan">
      <formula>0</formula>
    </cfRule>
  </conditionalFormatting>
  <conditionalFormatting sqref="F10:H11">
    <cfRule type="cellIs" dxfId="5" priority="1" operator="greaterThan">
      <formula>0</formula>
    </cfRule>
    <cfRule type="cellIs" dxfId="4"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BAE936E1-8472-41E0-BC11-74A6F12311F7}">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8"/>
  <dimension ref="A1:AA263"/>
  <sheetViews>
    <sheetView showGridLines="0" zoomScale="70" zoomScaleNormal="70" workbookViewId="0">
      <selection activeCell="H29" sqref="H29:I29"/>
    </sheetView>
  </sheetViews>
  <sheetFormatPr defaultRowHeight="15" x14ac:dyDescent="0.25"/>
  <cols>
    <col min="1" max="1" width="8.140625" style="12" customWidth="1"/>
    <col min="2" max="11" width="11.42578125" style="12" customWidth="1"/>
    <col min="12" max="12" width="8.85546875" style="12" customWidth="1"/>
    <col min="13" max="13" width="9.5703125" style="12" customWidth="1"/>
    <col min="14" max="18" width="11.42578125" style="12" customWidth="1"/>
    <col min="19" max="19" width="9" style="12" customWidth="1"/>
    <col min="20" max="20" width="11.42578125" style="12" customWidth="1"/>
    <col min="21" max="21" width="10.5703125" style="12" customWidth="1"/>
    <col min="22" max="23" width="11.42578125" style="12" customWidth="1"/>
    <col min="24" max="24" width="17.28515625" style="12" customWidth="1"/>
    <col min="25" max="16384" width="9.140625" style="12"/>
  </cols>
  <sheetData>
    <row r="1" spans="1:27" ht="15" customHeight="1" x14ac:dyDescent="0.25">
      <c r="A1" s="261" t="s">
        <v>772</v>
      </c>
      <c r="B1" s="262"/>
      <c r="C1" s="313" t="str">
        <f>'Hisse İsimleri'!B16</f>
        <v>Hisse15</v>
      </c>
      <c r="D1" s="313"/>
      <c r="E1" s="313"/>
      <c r="F1" s="313"/>
      <c r="G1" s="313"/>
      <c r="H1" s="313"/>
      <c r="I1" s="313"/>
      <c r="J1" s="313"/>
      <c r="K1" s="313"/>
      <c r="L1" s="313"/>
      <c r="M1" s="313"/>
      <c r="N1" s="313"/>
      <c r="O1" s="313"/>
      <c r="P1" s="313"/>
      <c r="Q1" s="313"/>
      <c r="R1" s="313"/>
      <c r="S1" s="313"/>
      <c r="T1" s="313"/>
      <c r="U1" s="313"/>
      <c r="V1" s="313"/>
      <c r="W1" s="313"/>
      <c r="X1" s="310"/>
      <c r="Y1" s="13"/>
      <c r="Z1" s="13"/>
      <c r="AA1" s="13"/>
    </row>
    <row r="2" spans="1:27" ht="15" customHeight="1" x14ac:dyDescent="0.25">
      <c r="A2" s="263"/>
      <c r="B2" s="264"/>
      <c r="C2" s="314"/>
      <c r="D2" s="314"/>
      <c r="E2" s="314"/>
      <c r="F2" s="314"/>
      <c r="G2" s="314"/>
      <c r="H2" s="314"/>
      <c r="I2" s="314"/>
      <c r="J2" s="314"/>
      <c r="K2" s="314"/>
      <c r="L2" s="314"/>
      <c r="M2" s="314"/>
      <c r="N2" s="314"/>
      <c r="O2" s="314"/>
      <c r="P2" s="314"/>
      <c r="Q2" s="314"/>
      <c r="R2" s="314"/>
      <c r="S2" s="314"/>
      <c r="T2" s="314"/>
      <c r="U2" s="314"/>
      <c r="V2" s="314"/>
      <c r="W2" s="314"/>
      <c r="X2" s="311"/>
      <c r="Y2" s="13"/>
      <c r="Z2" s="13"/>
      <c r="AA2" s="13"/>
    </row>
    <row r="3" spans="1:27" ht="15" customHeight="1" thickBot="1" x14ac:dyDescent="0.3">
      <c r="A3" s="265"/>
      <c r="B3" s="266"/>
      <c r="C3" s="315"/>
      <c r="D3" s="315"/>
      <c r="E3" s="315"/>
      <c r="F3" s="315"/>
      <c r="G3" s="315"/>
      <c r="H3" s="315"/>
      <c r="I3" s="315"/>
      <c r="J3" s="315"/>
      <c r="K3" s="315"/>
      <c r="L3" s="315"/>
      <c r="M3" s="315"/>
      <c r="N3" s="315"/>
      <c r="O3" s="315"/>
      <c r="P3" s="315"/>
      <c r="Q3" s="315"/>
      <c r="R3" s="315"/>
      <c r="S3" s="315"/>
      <c r="T3" s="315"/>
      <c r="U3" s="315"/>
      <c r="V3" s="315"/>
      <c r="W3" s="315"/>
      <c r="X3" s="312"/>
      <c r="Y3" s="13"/>
      <c r="Z3" s="13"/>
      <c r="AA3" s="13"/>
    </row>
    <row r="4" spans="1:27" ht="19.5" customHeight="1" x14ac:dyDescent="0.25">
      <c r="A4" s="267" t="s">
        <v>2</v>
      </c>
      <c r="B4" s="268"/>
      <c r="C4" s="268"/>
      <c r="D4" s="268"/>
      <c r="E4" s="268"/>
      <c r="F4" s="271">
        <f>SUM(F21:G220)</f>
        <v>0</v>
      </c>
      <c r="G4" s="271"/>
      <c r="H4" s="272"/>
      <c r="I4" s="267" t="s">
        <v>13</v>
      </c>
      <c r="J4" s="268"/>
      <c r="K4" s="268"/>
      <c r="L4" s="268"/>
      <c r="M4" s="268"/>
      <c r="N4" s="275" t="e">
        <f>AVERAGE(T21:T170)</f>
        <v>#DIV/0!</v>
      </c>
      <c r="O4" s="275"/>
      <c r="P4" s="276"/>
      <c r="Q4" s="267" t="s">
        <v>673</v>
      </c>
      <c r="R4" s="268"/>
      <c r="S4" s="268"/>
      <c r="T4" s="268"/>
      <c r="U4" s="279" t="e">
        <f>F8*F4</f>
        <v>#N/A</v>
      </c>
      <c r="V4" s="279"/>
      <c r="W4" s="280"/>
      <c r="X4" s="281"/>
    </row>
    <row r="5" spans="1:27" ht="19.5" customHeight="1" x14ac:dyDescent="0.25">
      <c r="A5" s="269"/>
      <c r="B5" s="270"/>
      <c r="C5" s="270"/>
      <c r="D5" s="270"/>
      <c r="E5" s="270"/>
      <c r="F5" s="273"/>
      <c r="G5" s="273"/>
      <c r="H5" s="274"/>
      <c r="I5" s="269"/>
      <c r="J5" s="270"/>
      <c r="K5" s="270"/>
      <c r="L5" s="270"/>
      <c r="M5" s="270"/>
      <c r="N5" s="277"/>
      <c r="O5" s="277"/>
      <c r="P5" s="278"/>
      <c r="Q5" s="269"/>
      <c r="R5" s="270"/>
      <c r="S5" s="270"/>
      <c r="T5" s="270"/>
      <c r="U5" s="282"/>
      <c r="V5" s="282"/>
      <c r="W5" s="283"/>
      <c r="X5" s="284"/>
    </row>
    <row r="6" spans="1:27" ht="19.5" customHeight="1" x14ac:dyDescent="0.25">
      <c r="A6" s="269" t="s">
        <v>0</v>
      </c>
      <c r="B6" s="270"/>
      <c r="C6" s="270"/>
      <c r="D6" s="270"/>
      <c r="E6" s="270"/>
      <c r="F6" s="208">
        <v>0</v>
      </c>
      <c r="G6" s="208"/>
      <c r="H6" s="209"/>
      <c r="I6" s="269" t="s">
        <v>674</v>
      </c>
      <c r="J6" s="270"/>
      <c r="K6" s="270"/>
      <c r="L6" s="270"/>
      <c r="M6" s="270"/>
      <c r="N6" s="282" t="e">
        <f>U6/F4</f>
        <v>#DIV/0!</v>
      </c>
      <c r="O6" s="282"/>
      <c r="P6" s="284"/>
      <c r="Q6" s="269" t="s">
        <v>675</v>
      </c>
      <c r="R6" s="270"/>
      <c r="S6" s="270"/>
      <c r="T6" s="270"/>
      <c r="U6" s="282">
        <f>SUM(J21:K220)-SUM(U21:U170)</f>
        <v>0</v>
      </c>
      <c r="V6" s="282"/>
      <c r="W6" s="283"/>
      <c r="X6" s="284"/>
    </row>
    <row r="7" spans="1:27" ht="19.5" customHeight="1" x14ac:dyDescent="0.25">
      <c r="A7" s="269"/>
      <c r="B7" s="270"/>
      <c r="C7" s="270"/>
      <c r="D7" s="270"/>
      <c r="E7" s="270"/>
      <c r="F7" s="208"/>
      <c r="G7" s="208"/>
      <c r="H7" s="209"/>
      <c r="I7" s="269"/>
      <c r="J7" s="270"/>
      <c r="K7" s="270"/>
      <c r="L7" s="270"/>
      <c r="M7" s="270"/>
      <c r="N7" s="282"/>
      <c r="O7" s="282"/>
      <c r="P7" s="284"/>
      <c r="Q7" s="269"/>
      <c r="R7" s="270"/>
      <c r="S7" s="270"/>
      <c r="T7" s="270"/>
      <c r="U7" s="282"/>
      <c r="V7" s="282"/>
      <c r="W7" s="283"/>
      <c r="X7" s="284"/>
    </row>
    <row r="8" spans="1:27" ht="19.5" customHeight="1" x14ac:dyDescent="0.25">
      <c r="A8" s="269" t="s">
        <v>676</v>
      </c>
      <c r="B8" s="270"/>
      <c r="C8" s="270"/>
      <c r="D8" s="270"/>
      <c r="E8" s="270"/>
      <c r="F8" s="282" t="e">
        <f>'Hisse İsimleri'!D16</f>
        <v>#N/A</v>
      </c>
      <c r="G8" s="282"/>
      <c r="H8" s="284"/>
      <c r="I8" s="269" t="s">
        <v>677</v>
      </c>
      <c r="J8" s="270"/>
      <c r="K8" s="270"/>
      <c r="L8" s="270"/>
      <c r="M8" s="270"/>
      <c r="N8" s="282">
        <f>SUM(U21:U170)</f>
        <v>0</v>
      </c>
      <c r="O8" s="282"/>
      <c r="P8" s="284"/>
      <c r="Q8" s="295" t="s">
        <v>678</v>
      </c>
      <c r="R8" s="296"/>
      <c r="S8" s="296"/>
      <c r="T8" s="297"/>
      <c r="U8" s="301">
        <f>SUM(H21:I220)</f>
        <v>0</v>
      </c>
      <c r="V8" s="302"/>
      <c r="W8" s="302"/>
      <c r="X8" s="303"/>
    </row>
    <row r="9" spans="1:27" ht="19.5" customHeight="1" x14ac:dyDescent="0.25">
      <c r="A9" s="269"/>
      <c r="B9" s="270"/>
      <c r="C9" s="270"/>
      <c r="D9" s="270"/>
      <c r="E9" s="270"/>
      <c r="F9" s="282"/>
      <c r="G9" s="282"/>
      <c r="H9" s="284"/>
      <c r="I9" s="269"/>
      <c r="J9" s="270"/>
      <c r="K9" s="270"/>
      <c r="L9" s="270"/>
      <c r="M9" s="270"/>
      <c r="N9" s="282"/>
      <c r="O9" s="282"/>
      <c r="P9" s="284"/>
      <c r="Q9" s="298"/>
      <c r="R9" s="299"/>
      <c r="S9" s="299"/>
      <c r="T9" s="300"/>
      <c r="U9" s="304"/>
      <c r="V9" s="305"/>
      <c r="W9" s="305"/>
      <c r="X9" s="306"/>
    </row>
    <row r="10" spans="1:27" ht="19.5" customHeight="1" x14ac:dyDescent="0.25">
      <c r="A10" s="269" t="s">
        <v>679</v>
      </c>
      <c r="B10" s="270"/>
      <c r="C10" s="270"/>
      <c r="D10" s="270"/>
      <c r="E10" s="270"/>
      <c r="F10" s="287" t="e">
        <f>'Hisse İsimleri'!E16</f>
        <v>#N/A</v>
      </c>
      <c r="G10" s="287"/>
      <c r="H10" s="288"/>
      <c r="I10" s="269" t="s">
        <v>710</v>
      </c>
      <c r="J10" s="270"/>
      <c r="K10" s="270"/>
      <c r="L10" s="270"/>
      <c r="M10" s="270"/>
      <c r="N10" s="291" t="e">
        <f>U10/U6</f>
        <v>#N/A</v>
      </c>
      <c r="O10" s="291"/>
      <c r="P10" s="292"/>
      <c r="Q10" s="295" t="s">
        <v>587</v>
      </c>
      <c r="R10" s="296"/>
      <c r="S10" s="296"/>
      <c r="T10" s="297"/>
      <c r="U10" s="301" t="e">
        <f>U4-U6</f>
        <v>#N/A</v>
      </c>
      <c r="V10" s="302"/>
      <c r="W10" s="302"/>
      <c r="X10" s="303"/>
    </row>
    <row r="11" spans="1:27" ht="19.5" customHeight="1" x14ac:dyDescent="0.25">
      <c r="A11" s="285"/>
      <c r="B11" s="286"/>
      <c r="C11" s="286"/>
      <c r="D11" s="286"/>
      <c r="E11" s="286"/>
      <c r="F11" s="289"/>
      <c r="G11" s="289"/>
      <c r="H11" s="290"/>
      <c r="I11" s="285"/>
      <c r="J11" s="286"/>
      <c r="K11" s="286"/>
      <c r="L11" s="286"/>
      <c r="M11" s="286"/>
      <c r="N11" s="293"/>
      <c r="O11" s="293"/>
      <c r="P11" s="294"/>
      <c r="Q11" s="298"/>
      <c r="R11" s="299"/>
      <c r="S11" s="299"/>
      <c r="T11" s="300"/>
      <c r="U11" s="304"/>
      <c r="V11" s="305"/>
      <c r="W11" s="305"/>
      <c r="X11" s="306"/>
    </row>
    <row r="12" spans="1:27" ht="7.5" customHeight="1" x14ac:dyDescent="0.25">
      <c r="A12" s="329"/>
      <c r="B12" s="329"/>
      <c r="C12" s="329"/>
      <c r="D12" s="329"/>
      <c r="E12" s="329"/>
      <c r="F12" s="329"/>
      <c r="G12" s="329"/>
      <c r="H12" s="329"/>
      <c r="I12" s="329"/>
      <c r="J12" s="329"/>
      <c r="K12" s="329"/>
      <c r="L12" s="329"/>
      <c r="M12" s="329"/>
      <c r="N12" s="329"/>
      <c r="O12" s="329"/>
      <c r="P12" s="329"/>
      <c r="Q12" s="329"/>
      <c r="R12" s="329"/>
      <c r="S12" s="329"/>
      <c r="T12" s="329"/>
      <c r="U12" s="329"/>
      <c r="V12" s="329"/>
      <c r="W12" s="329"/>
      <c r="X12" s="329"/>
    </row>
    <row r="13" spans="1:27" x14ac:dyDescent="0.25">
      <c r="A13" s="270" t="s">
        <v>19</v>
      </c>
      <c r="B13" s="270"/>
      <c r="C13" s="270"/>
      <c r="D13" s="270"/>
      <c r="E13" s="330" t="e">
        <f>F4*100/F6</f>
        <v>#DIV/0!</v>
      </c>
      <c r="F13" s="330"/>
      <c r="G13" s="330"/>
      <c r="H13" s="330"/>
      <c r="I13" s="330"/>
      <c r="J13" s="330"/>
      <c r="K13" s="330"/>
      <c r="L13" s="330"/>
      <c r="M13" s="330"/>
      <c r="N13" s="330"/>
      <c r="O13" s="330"/>
      <c r="P13" s="330"/>
      <c r="Q13" s="330"/>
      <c r="R13" s="330"/>
      <c r="S13" s="330"/>
      <c r="T13" s="330"/>
      <c r="U13" s="330"/>
      <c r="V13" s="330"/>
      <c r="W13" s="330"/>
      <c r="X13" s="330"/>
    </row>
    <row r="14" spans="1:27" x14ac:dyDescent="0.25">
      <c r="A14" s="270"/>
      <c r="B14" s="270"/>
      <c r="C14" s="270"/>
      <c r="D14" s="270"/>
      <c r="E14" s="330"/>
      <c r="F14" s="330"/>
      <c r="G14" s="330"/>
      <c r="H14" s="330"/>
      <c r="I14" s="330"/>
      <c r="J14" s="330"/>
      <c r="K14" s="330"/>
      <c r="L14" s="330"/>
      <c r="M14" s="330"/>
      <c r="N14" s="330"/>
      <c r="O14" s="330"/>
      <c r="P14" s="330"/>
      <c r="Q14" s="330"/>
      <c r="R14" s="330"/>
      <c r="S14" s="330"/>
      <c r="T14" s="330"/>
      <c r="U14" s="330"/>
      <c r="V14" s="330"/>
      <c r="W14" s="330"/>
      <c r="X14" s="330"/>
    </row>
    <row r="15" spans="1:27" ht="9" customHeight="1" x14ac:dyDescent="0.25">
      <c r="A15" s="331"/>
      <c r="B15" s="331"/>
      <c r="C15" s="331"/>
      <c r="D15" s="331"/>
      <c r="E15" s="331"/>
      <c r="F15" s="331"/>
      <c r="G15" s="331"/>
      <c r="H15" s="331"/>
      <c r="I15" s="331"/>
      <c r="J15" s="331"/>
      <c r="K15" s="331"/>
      <c r="L15" s="331"/>
      <c r="M15" s="331"/>
      <c r="N15" s="331"/>
      <c r="O15" s="331"/>
      <c r="P15" s="331"/>
      <c r="Q15" s="331"/>
      <c r="R15" s="331"/>
      <c r="S15" s="331"/>
      <c r="T15" s="331"/>
      <c r="U15" s="331"/>
      <c r="V15" s="331"/>
      <c r="W15" s="331"/>
      <c r="X15" s="331"/>
    </row>
    <row r="16" spans="1:27" ht="15" customHeight="1" x14ac:dyDescent="0.25">
      <c r="A16" s="332" t="s">
        <v>680</v>
      </c>
      <c r="B16" s="332"/>
      <c r="C16" s="332"/>
      <c r="D16" s="332"/>
      <c r="E16" s="332"/>
      <c r="F16" s="332"/>
      <c r="G16" s="332"/>
      <c r="H16" s="332"/>
      <c r="I16" s="332"/>
      <c r="J16" s="332"/>
      <c r="K16" s="332"/>
      <c r="L16" s="342"/>
      <c r="M16" s="344" t="s">
        <v>706</v>
      </c>
      <c r="N16" s="344"/>
      <c r="O16" s="344"/>
      <c r="P16" s="344"/>
      <c r="Q16" s="344"/>
      <c r="R16" s="344"/>
      <c r="S16" s="344"/>
      <c r="T16" s="344"/>
      <c r="U16" s="344"/>
      <c r="V16" s="344"/>
      <c r="W16" s="344"/>
      <c r="X16" s="344"/>
    </row>
    <row r="17" spans="1:24" ht="15" customHeight="1" x14ac:dyDescent="0.25">
      <c r="A17" s="332"/>
      <c r="B17" s="332"/>
      <c r="C17" s="332"/>
      <c r="D17" s="332"/>
      <c r="E17" s="332"/>
      <c r="F17" s="332"/>
      <c r="G17" s="332"/>
      <c r="H17" s="332"/>
      <c r="I17" s="332"/>
      <c r="J17" s="332"/>
      <c r="K17" s="332"/>
      <c r="L17" s="343"/>
      <c r="M17" s="344"/>
      <c r="N17" s="344"/>
      <c r="O17" s="344"/>
      <c r="P17" s="344"/>
      <c r="Q17" s="344"/>
      <c r="R17" s="344"/>
      <c r="S17" s="344"/>
      <c r="T17" s="344"/>
      <c r="U17" s="344"/>
      <c r="V17" s="344"/>
      <c r="W17" s="344"/>
      <c r="X17" s="344"/>
    </row>
    <row r="18" spans="1:24" ht="7.5" customHeight="1" x14ac:dyDescent="0.25">
      <c r="A18" s="333"/>
      <c r="B18" s="333"/>
      <c r="C18" s="333"/>
      <c r="D18" s="333"/>
      <c r="E18" s="333"/>
      <c r="F18" s="333"/>
      <c r="G18" s="333"/>
      <c r="H18" s="333"/>
      <c r="I18" s="333"/>
      <c r="J18" s="333"/>
      <c r="K18" s="333"/>
      <c r="L18" s="343"/>
      <c r="M18" s="345"/>
      <c r="N18" s="345"/>
      <c r="O18" s="345"/>
      <c r="P18" s="345"/>
      <c r="Q18" s="345"/>
      <c r="R18" s="345"/>
      <c r="S18" s="345"/>
      <c r="T18" s="345"/>
      <c r="U18" s="345"/>
      <c r="V18" s="345"/>
      <c r="W18" s="345"/>
      <c r="X18" s="345"/>
    </row>
    <row r="19" spans="1:24" ht="15" customHeight="1" x14ac:dyDescent="0.25">
      <c r="A19" s="258" t="s">
        <v>585</v>
      </c>
      <c r="B19" s="258" t="s">
        <v>681</v>
      </c>
      <c r="C19" s="258"/>
      <c r="D19" s="258" t="s">
        <v>3</v>
      </c>
      <c r="E19" s="258"/>
      <c r="F19" s="258" t="s">
        <v>670</v>
      </c>
      <c r="G19" s="258"/>
      <c r="H19" s="258" t="s">
        <v>682</v>
      </c>
      <c r="I19" s="258"/>
      <c r="J19" s="258" t="s">
        <v>683</v>
      </c>
      <c r="K19" s="258"/>
      <c r="L19" s="343"/>
      <c r="M19" s="339" t="s">
        <v>585</v>
      </c>
      <c r="N19" s="339" t="s">
        <v>681</v>
      </c>
      <c r="O19" s="339"/>
      <c r="P19" s="334" t="s">
        <v>707</v>
      </c>
      <c r="Q19" s="334"/>
      <c r="R19" s="334" t="s">
        <v>684</v>
      </c>
      <c r="S19" s="334"/>
      <c r="T19" s="316" t="s">
        <v>12</v>
      </c>
      <c r="U19" s="318" t="s">
        <v>677</v>
      </c>
      <c r="V19" s="319"/>
      <c r="W19" s="335" t="s">
        <v>708</v>
      </c>
      <c r="X19" s="336"/>
    </row>
    <row r="20" spans="1:24" ht="30" customHeight="1" x14ac:dyDescent="0.25">
      <c r="A20" s="258"/>
      <c r="B20" s="258"/>
      <c r="C20" s="258"/>
      <c r="D20" s="258"/>
      <c r="E20" s="258"/>
      <c r="F20" s="258"/>
      <c r="G20" s="258"/>
      <c r="H20" s="258"/>
      <c r="I20" s="258"/>
      <c r="J20" s="258"/>
      <c r="K20" s="258"/>
      <c r="L20" s="343"/>
      <c r="M20" s="339"/>
      <c r="N20" s="339"/>
      <c r="O20" s="339"/>
      <c r="P20" s="334"/>
      <c r="Q20" s="334"/>
      <c r="R20" s="334"/>
      <c r="S20" s="334"/>
      <c r="T20" s="317"/>
      <c r="U20" s="320"/>
      <c r="V20" s="321"/>
      <c r="W20" s="337"/>
      <c r="X20" s="338"/>
    </row>
    <row r="21" spans="1:24" ht="22.5" customHeight="1" x14ac:dyDescent="0.25">
      <c r="A21" s="22">
        <v>1</v>
      </c>
      <c r="B21" s="237"/>
      <c r="C21" s="237"/>
      <c r="D21" s="238"/>
      <c r="E21" s="238"/>
      <c r="F21" s="239"/>
      <c r="G21" s="239"/>
      <c r="H21" s="238"/>
      <c r="I21" s="238"/>
      <c r="J21" s="309">
        <f>D21*F21+H21</f>
        <v>0</v>
      </c>
      <c r="K21" s="309"/>
      <c r="L21" s="343"/>
      <c r="M21" s="22">
        <v>1</v>
      </c>
      <c r="N21" s="239"/>
      <c r="O21" s="239"/>
      <c r="P21" s="238"/>
      <c r="Q21" s="238"/>
      <c r="R21" s="239"/>
      <c r="S21" s="239"/>
      <c r="T21" s="23"/>
      <c r="U21" s="256">
        <f>P21+R21</f>
        <v>0</v>
      </c>
      <c r="V21" s="322"/>
      <c r="W21" s="325" t="s">
        <v>709</v>
      </c>
      <c r="X21" s="326"/>
    </row>
    <row r="22" spans="1:24" ht="22.5" customHeight="1" x14ac:dyDescent="0.25">
      <c r="A22" s="14">
        <v>2</v>
      </c>
      <c r="B22" s="252"/>
      <c r="C22" s="252"/>
      <c r="D22" s="251"/>
      <c r="E22" s="251"/>
      <c r="F22" s="252"/>
      <c r="G22" s="252"/>
      <c r="H22" s="251"/>
      <c r="I22" s="251"/>
      <c r="J22" s="323">
        <f t="shared" ref="J22:J85" si="0">D22*F22+H22</f>
        <v>0</v>
      </c>
      <c r="K22" s="324"/>
      <c r="L22" s="343"/>
      <c r="M22" s="15">
        <v>2</v>
      </c>
      <c r="N22" s="260"/>
      <c r="O22" s="260"/>
      <c r="P22" s="259"/>
      <c r="Q22" s="259"/>
      <c r="R22" s="260"/>
      <c r="S22" s="260"/>
      <c r="T22" s="24"/>
      <c r="U22" s="340">
        <f>P22+R22</f>
        <v>0</v>
      </c>
      <c r="V22" s="341"/>
      <c r="W22" s="327"/>
      <c r="X22" s="328"/>
    </row>
    <row r="23" spans="1:24" ht="22.5" customHeight="1" x14ac:dyDescent="0.25">
      <c r="A23" s="22">
        <v>3</v>
      </c>
      <c r="B23" s="239"/>
      <c r="C23" s="239"/>
      <c r="D23" s="238"/>
      <c r="E23" s="238"/>
      <c r="F23" s="239"/>
      <c r="G23" s="239"/>
      <c r="H23" s="238"/>
      <c r="I23" s="238"/>
      <c r="J23" s="309">
        <f t="shared" si="0"/>
        <v>0</v>
      </c>
      <c r="K23" s="309"/>
      <c r="L23" s="343"/>
      <c r="M23" s="22">
        <v>3</v>
      </c>
      <c r="N23" s="239"/>
      <c r="O23" s="239"/>
      <c r="P23" s="238"/>
      <c r="Q23" s="238"/>
      <c r="R23" s="239"/>
      <c r="S23" s="239"/>
      <c r="T23" s="23"/>
      <c r="U23" s="256">
        <f t="shared" ref="U23:U86" si="1">P23+R23</f>
        <v>0</v>
      </c>
      <c r="V23" s="257"/>
      <c r="W23" s="327"/>
      <c r="X23" s="328"/>
    </row>
    <row r="24" spans="1:24" ht="22.5" customHeight="1" x14ac:dyDescent="0.25">
      <c r="A24" s="14">
        <v>4</v>
      </c>
      <c r="B24" s="252"/>
      <c r="C24" s="252"/>
      <c r="D24" s="251"/>
      <c r="E24" s="251"/>
      <c r="F24" s="252"/>
      <c r="G24" s="252"/>
      <c r="H24" s="251"/>
      <c r="I24" s="251"/>
      <c r="J24" s="323">
        <f t="shared" si="0"/>
        <v>0</v>
      </c>
      <c r="K24" s="324"/>
      <c r="L24" s="343"/>
      <c r="M24" s="15">
        <v>4</v>
      </c>
      <c r="N24" s="260"/>
      <c r="O24" s="260"/>
      <c r="P24" s="259"/>
      <c r="Q24" s="259"/>
      <c r="R24" s="260"/>
      <c r="S24" s="260"/>
      <c r="T24" s="24"/>
      <c r="U24" s="340">
        <f t="shared" si="1"/>
        <v>0</v>
      </c>
      <c r="V24" s="341"/>
      <c r="W24" s="327"/>
      <c r="X24" s="328"/>
    </row>
    <row r="25" spans="1:24" ht="22.5" customHeight="1" x14ac:dyDescent="0.25">
      <c r="A25" s="22">
        <v>5</v>
      </c>
      <c r="B25" s="239"/>
      <c r="C25" s="239"/>
      <c r="D25" s="238"/>
      <c r="E25" s="238"/>
      <c r="F25" s="239"/>
      <c r="G25" s="239"/>
      <c r="H25" s="238"/>
      <c r="I25" s="238"/>
      <c r="J25" s="309">
        <f t="shared" si="0"/>
        <v>0</v>
      </c>
      <c r="K25" s="309"/>
      <c r="L25" s="343"/>
      <c r="M25" s="22">
        <v>5</v>
      </c>
      <c r="N25" s="239"/>
      <c r="O25" s="239"/>
      <c r="P25" s="238"/>
      <c r="Q25" s="238"/>
      <c r="R25" s="239"/>
      <c r="S25" s="239"/>
      <c r="T25" s="23"/>
      <c r="U25" s="256">
        <f t="shared" si="1"/>
        <v>0</v>
      </c>
      <c r="V25" s="257"/>
      <c r="W25" s="327"/>
      <c r="X25" s="328"/>
    </row>
    <row r="26" spans="1:24" ht="22.5" customHeight="1" x14ac:dyDescent="0.25">
      <c r="A26" s="14">
        <v>6</v>
      </c>
      <c r="B26" s="252"/>
      <c r="C26" s="252"/>
      <c r="D26" s="251"/>
      <c r="E26" s="251"/>
      <c r="F26" s="252"/>
      <c r="G26" s="252"/>
      <c r="H26" s="251"/>
      <c r="I26" s="251"/>
      <c r="J26" s="323">
        <f t="shared" si="0"/>
        <v>0</v>
      </c>
      <c r="K26" s="324"/>
      <c r="L26" s="343"/>
      <c r="M26" s="15">
        <v>6</v>
      </c>
      <c r="N26" s="260"/>
      <c r="O26" s="260"/>
      <c r="P26" s="259"/>
      <c r="Q26" s="259"/>
      <c r="R26" s="260"/>
      <c r="S26" s="260"/>
      <c r="T26" s="24"/>
      <c r="U26" s="340">
        <f t="shared" si="1"/>
        <v>0</v>
      </c>
      <c r="V26" s="341"/>
      <c r="W26" s="327"/>
      <c r="X26" s="328"/>
    </row>
    <row r="27" spans="1:24" ht="22.5" customHeight="1" x14ac:dyDescent="0.25">
      <c r="A27" s="22">
        <v>7</v>
      </c>
      <c r="B27" s="239"/>
      <c r="C27" s="239"/>
      <c r="D27" s="238"/>
      <c r="E27" s="238"/>
      <c r="F27" s="239"/>
      <c r="G27" s="239"/>
      <c r="H27" s="238"/>
      <c r="I27" s="238"/>
      <c r="J27" s="309">
        <f t="shared" si="0"/>
        <v>0</v>
      </c>
      <c r="K27" s="309"/>
      <c r="L27" s="343"/>
      <c r="M27" s="22">
        <v>7</v>
      </c>
      <c r="N27" s="239"/>
      <c r="O27" s="239"/>
      <c r="P27" s="238"/>
      <c r="Q27" s="238"/>
      <c r="R27" s="239"/>
      <c r="S27" s="239"/>
      <c r="T27" s="23"/>
      <c r="U27" s="256">
        <f t="shared" si="1"/>
        <v>0</v>
      </c>
      <c r="V27" s="257"/>
      <c r="W27" s="327"/>
      <c r="X27" s="328"/>
    </row>
    <row r="28" spans="1:24" ht="22.5" customHeight="1" x14ac:dyDescent="0.25">
      <c r="A28" s="14">
        <v>8</v>
      </c>
      <c r="B28" s="252"/>
      <c r="C28" s="252"/>
      <c r="D28" s="251"/>
      <c r="E28" s="251"/>
      <c r="F28" s="252"/>
      <c r="G28" s="252"/>
      <c r="H28" s="251"/>
      <c r="I28" s="251"/>
      <c r="J28" s="323">
        <f t="shared" si="0"/>
        <v>0</v>
      </c>
      <c r="K28" s="324"/>
      <c r="L28" s="343"/>
      <c r="M28" s="15">
        <v>8</v>
      </c>
      <c r="N28" s="260"/>
      <c r="O28" s="260"/>
      <c r="P28" s="259"/>
      <c r="Q28" s="259"/>
      <c r="R28" s="260"/>
      <c r="S28" s="260"/>
      <c r="T28" s="24"/>
      <c r="U28" s="340">
        <f t="shared" si="1"/>
        <v>0</v>
      </c>
      <c r="V28" s="341"/>
      <c r="W28" s="327"/>
      <c r="X28" s="328"/>
    </row>
    <row r="29" spans="1:24" ht="22.5" customHeight="1" x14ac:dyDescent="0.25">
      <c r="A29" s="22">
        <v>9</v>
      </c>
      <c r="B29" s="239"/>
      <c r="C29" s="239"/>
      <c r="D29" s="238"/>
      <c r="E29" s="238"/>
      <c r="F29" s="239"/>
      <c r="G29" s="239"/>
      <c r="H29" s="238"/>
      <c r="I29" s="238"/>
      <c r="J29" s="309">
        <f t="shared" si="0"/>
        <v>0</v>
      </c>
      <c r="K29" s="309"/>
      <c r="L29" s="343"/>
      <c r="M29" s="22">
        <v>9</v>
      </c>
      <c r="N29" s="239"/>
      <c r="O29" s="239"/>
      <c r="P29" s="238"/>
      <c r="Q29" s="238"/>
      <c r="R29" s="239"/>
      <c r="S29" s="239"/>
      <c r="T29" s="23"/>
      <c r="U29" s="256">
        <f t="shared" si="1"/>
        <v>0</v>
      </c>
      <c r="V29" s="257"/>
      <c r="W29" s="327"/>
      <c r="X29" s="328"/>
    </row>
    <row r="30" spans="1:24" ht="22.5" customHeight="1" x14ac:dyDescent="0.25">
      <c r="A30" s="14">
        <v>10</v>
      </c>
      <c r="B30" s="252"/>
      <c r="C30" s="252"/>
      <c r="D30" s="251"/>
      <c r="E30" s="251"/>
      <c r="F30" s="252"/>
      <c r="G30" s="252"/>
      <c r="H30" s="251"/>
      <c r="I30" s="251"/>
      <c r="J30" s="323">
        <f t="shared" si="0"/>
        <v>0</v>
      </c>
      <c r="K30" s="324"/>
      <c r="L30" s="343"/>
      <c r="M30" s="15">
        <v>10</v>
      </c>
      <c r="N30" s="260"/>
      <c r="O30" s="260"/>
      <c r="P30" s="259"/>
      <c r="Q30" s="259"/>
      <c r="R30" s="260"/>
      <c r="S30" s="260"/>
      <c r="T30" s="24"/>
      <c r="U30" s="340">
        <f t="shared" si="1"/>
        <v>0</v>
      </c>
      <c r="V30" s="341"/>
      <c r="W30" s="327"/>
      <c r="X30" s="328"/>
    </row>
    <row r="31" spans="1:24" ht="22.5" customHeight="1" x14ac:dyDescent="0.25">
      <c r="A31" s="22">
        <v>11</v>
      </c>
      <c r="B31" s="239"/>
      <c r="C31" s="239"/>
      <c r="D31" s="238"/>
      <c r="E31" s="238"/>
      <c r="F31" s="239"/>
      <c r="G31" s="239"/>
      <c r="H31" s="238"/>
      <c r="I31" s="238"/>
      <c r="J31" s="309">
        <f t="shared" si="0"/>
        <v>0</v>
      </c>
      <c r="K31" s="309"/>
      <c r="L31" s="343"/>
      <c r="M31" s="22">
        <v>11</v>
      </c>
      <c r="N31" s="239"/>
      <c r="O31" s="239"/>
      <c r="P31" s="238"/>
      <c r="Q31" s="238"/>
      <c r="R31" s="239"/>
      <c r="S31" s="239"/>
      <c r="T31" s="23"/>
      <c r="U31" s="256">
        <f t="shared" si="1"/>
        <v>0</v>
      </c>
      <c r="V31" s="257"/>
      <c r="W31" s="327"/>
      <c r="X31" s="328"/>
    </row>
    <row r="32" spans="1:24" ht="22.5" customHeight="1" x14ac:dyDescent="0.25">
      <c r="A32" s="14">
        <v>12</v>
      </c>
      <c r="B32" s="252"/>
      <c r="C32" s="252"/>
      <c r="D32" s="251"/>
      <c r="E32" s="251"/>
      <c r="F32" s="252"/>
      <c r="G32" s="252"/>
      <c r="H32" s="251"/>
      <c r="I32" s="251"/>
      <c r="J32" s="323">
        <f t="shared" si="0"/>
        <v>0</v>
      </c>
      <c r="K32" s="324"/>
      <c r="L32" s="343"/>
      <c r="M32" s="15">
        <v>12</v>
      </c>
      <c r="N32" s="260"/>
      <c r="O32" s="260"/>
      <c r="P32" s="259"/>
      <c r="Q32" s="259"/>
      <c r="R32" s="260"/>
      <c r="S32" s="260"/>
      <c r="T32" s="24"/>
      <c r="U32" s="340">
        <f t="shared" si="1"/>
        <v>0</v>
      </c>
      <c r="V32" s="341"/>
      <c r="W32" s="327"/>
      <c r="X32" s="328"/>
    </row>
    <row r="33" spans="1:24" ht="22.5" customHeight="1" x14ac:dyDescent="0.25">
      <c r="A33" s="22">
        <v>13</v>
      </c>
      <c r="B33" s="239"/>
      <c r="C33" s="239"/>
      <c r="D33" s="238"/>
      <c r="E33" s="238"/>
      <c r="F33" s="239"/>
      <c r="G33" s="239"/>
      <c r="H33" s="238"/>
      <c r="I33" s="238"/>
      <c r="J33" s="309">
        <f t="shared" si="0"/>
        <v>0</v>
      </c>
      <c r="K33" s="309"/>
      <c r="L33" s="343"/>
      <c r="M33" s="22">
        <v>13</v>
      </c>
      <c r="N33" s="239"/>
      <c r="O33" s="239"/>
      <c r="P33" s="238"/>
      <c r="Q33" s="238"/>
      <c r="R33" s="239"/>
      <c r="S33" s="239"/>
      <c r="T33" s="23"/>
      <c r="U33" s="256">
        <f t="shared" si="1"/>
        <v>0</v>
      </c>
      <c r="V33" s="257"/>
      <c r="W33" s="327"/>
      <c r="X33" s="328"/>
    </row>
    <row r="34" spans="1:24" ht="22.5" customHeight="1" x14ac:dyDescent="0.25">
      <c r="A34" s="14">
        <v>14</v>
      </c>
      <c r="B34" s="252"/>
      <c r="C34" s="252"/>
      <c r="D34" s="251"/>
      <c r="E34" s="251"/>
      <c r="F34" s="252"/>
      <c r="G34" s="252"/>
      <c r="H34" s="251"/>
      <c r="I34" s="251"/>
      <c r="J34" s="323">
        <f t="shared" si="0"/>
        <v>0</v>
      </c>
      <c r="K34" s="324"/>
      <c r="L34" s="343"/>
      <c r="M34" s="15">
        <v>14</v>
      </c>
      <c r="N34" s="260"/>
      <c r="O34" s="260"/>
      <c r="P34" s="259"/>
      <c r="Q34" s="259"/>
      <c r="R34" s="260"/>
      <c r="S34" s="260"/>
      <c r="T34" s="24"/>
      <c r="U34" s="340">
        <f t="shared" si="1"/>
        <v>0</v>
      </c>
      <c r="V34" s="341"/>
      <c r="W34" s="327"/>
      <c r="X34" s="328"/>
    </row>
    <row r="35" spans="1:24" ht="22.5" customHeight="1" x14ac:dyDescent="0.25">
      <c r="A35" s="22">
        <v>15</v>
      </c>
      <c r="B35" s="239"/>
      <c r="C35" s="239"/>
      <c r="D35" s="238"/>
      <c r="E35" s="238"/>
      <c r="F35" s="239"/>
      <c r="G35" s="239"/>
      <c r="H35" s="238"/>
      <c r="I35" s="238"/>
      <c r="J35" s="309">
        <f t="shared" si="0"/>
        <v>0</v>
      </c>
      <c r="K35" s="309"/>
      <c r="L35" s="343"/>
      <c r="M35" s="22">
        <v>15</v>
      </c>
      <c r="N35" s="239"/>
      <c r="O35" s="239"/>
      <c r="P35" s="238"/>
      <c r="Q35" s="238"/>
      <c r="R35" s="239"/>
      <c r="S35" s="239"/>
      <c r="T35" s="23"/>
      <c r="U35" s="256">
        <f t="shared" si="1"/>
        <v>0</v>
      </c>
      <c r="V35" s="257"/>
      <c r="W35" s="327"/>
      <c r="X35" s="328"/>
    </row>
    <row r="36" spans="1:24" ht="22.5" customHeight="1" x14ac:dyDescent="0.25">
      <c r="A36" s="14">
        <v>16</v>
      </c>
      <c r="B36" s="252"/>
      <c r="C36" s="252"/>
      <c r="D36" s="251"/>
      <c r="E36" s="251"/>
      <c r="F36" s="252"/>
      <c r="G36" s="252"/>
      <c r="H36" s="251"/>
      <c r="I36" s="251"/>
      <c r="J36" s="323">
        <f t="shared" si="0"/>
        <v>0</v>
      </c>
      <c r="K36" s="324"/>
      <c r="L36" s="343"/>
      <c r="M36" s="15">
        <v>16</v>
      </c>
      <c r="N36" s="260"/>
      <c r="O36" s="260"/>
      <c r="P36" s="259"/>
      <c r="Q36" s="259"/>
      <c r="R36" s="260"/>
      <c r="S36" s="260"/>
      <c r="T36" s="24"/>
      <c r="U36" s="340">
        <f t="shared" si="1"/>
        <v>0</v>
      </c>
      <c r="V36" s="341"/>
      <c r="W36" s="327"/>
      <c r="X36" s="328"/>
    </row>
    <row r="37" spans="1:24" ht="22.5" customHeight="1" x14ac:dyDescent="0.25">
      <c r="A37" s="22">
        <v>17</v>
      </c>
      <c r="B37" s="239"/>
      <c r="C37" s="239"/>
      <c r="D37" s="238"/>
      <c r="E37" s="238"/>
      <c r="F37" s="239"/>
      <c r="G37" s="239"/>
      <c r="H37" s="238"/>
      <c r="I37" s="238"/>
      <c r="J37" s="309">
        <f t="shared" si="0"/>
        <v>0</v>
      </c>
      <c r="K37" s="309"/>
      <c r="L37" s="343"/>
      <c r="M37" s="22">
        <v>17</v>
      </c>
      <c r="N37" s="239"/>
      <c r="O37" s="239"/>
      <c r="P37" s="238"/>
      <c r="Q37" s="238"/>
      <c r="R37" s="239"/>
      <c r="S37" s="239"/>
      <c r="T37" s="23"/>
      <c r="U37" s="256">
        <f t="shared" si="1"/>
        <v>0</v>
      </c>
      <c r="V37" s="257"/>
      <c r="W37" s="327"/>
      <c r="X37" s="328"/>
    </row>
    <row r="38" spans="1:24" ht="22.5" customHeight="1" x14ac:dyDescent="0.25">
      <c r="A38" s="14">
        <v>18</v>
      </c>
      <c r="B38" s="252"/>
      <c r="C38" s="252"/>
      <c r="D38" s="251"/>
      <c r="E38" s="251"/>
      <c r="F38" s="252"/>
      <c r="G38" s="252"/>
      <c r="H38" s="251"/>
      <c r="I38" s="251"/>
      <c r="J38" s="323">
        <f t="shared" si="0"/>
        <v>0</v>
      </c>
      <c r="K38" s="324"/>
      <c r="L38" s="343"/>
      <c r="M38" s="15">
        <v>18</v>
      </c>
      <c r="N38" s="260"/>
      <c r="O38" s="260"/>
      <c r="P38" s="259"/>
      <c r="Q38" s="259"/>
      <c r="R38" s="260"/>
      <c r="S38" s="260"/>
      <c r="T38" s="24"/>
      <c r="U38" s="340">
        <f t="shared" si="1"/>
        <v>0</v>
      </c>
      <c r="V38" s="341"/>
      <c r="W38" s="327"/>
      <c r="X38" s="328"/>
    </row>
    <row r="39" spans="1:24" ht="22.5" customHeight="1" x14ac:dyDescent="0.25">
      <c r="A39" s="22">
        <v>19</v>
      </c>
      <c r="B39" s="239"/>
      <c r="C39" s="239"/>
      <c r="D39" s="238"/>
      <c r="E39" s="238"/>
      <c r="F39" s="239"/>
      <c r="G39" s="239"/>
      <c r="H39" s="238"/>
      <c r="I39" s="238"/>
      <c r="J39" s="309">
        <f t="shared" si="0"/>
        <v>0</v>
      </c>
      <c r="K39" s="309"/>
      <c r="L39" s="343"/>
      <c r="M39" s="22">
        <v>19</v>
      </c>
      <c r="N39" s="239"/>
      <c r="O39" s="239"/>
      <c r="P39" s="238"/>
      <c r="Q39" s="238"/>
      <c r="R39" s="239"/>
      <c r="S39" s="239"/>
      <c r="T39" s="23"/>
      <c r="U39" s="256">
        <f t="shared" si="1"/>
        <v>0</v>
      </c>
      <c r="V39" s="257"/>
      <c r="W39" s="327"/>
      <c r="X39" s="328"/>
    </row>
    <row r="40" spans="1:24" ht="22.5" customHeight="1" x14ac:dyDescent="0.25">
      <c r="A40" s="14">
        <v>20</v>
      </c>
      <c r="B40" s="252"/>
      <c r="C40" s="252"/>
      <c r="D40" s="251"/>
      <c r="E40" s="251"/>
      <c r="F40" s="252"/>
      <c r="G40" s="252"/>
      <c r="H40" s="251"/>
      <c r="I40" s="251"/>
      <c r="J40" s="323">
        <f t="shared" si="0"/>
        <v>0</v>
      </c>
      <c r="K40" s="324"/>
      <c r="L40" s="343"/>
      <c r="M40" s="15">
        <v>20</v>
      </c>
      <c r="N40" s="260"/>
      <c r="O40" s="260"/>
      <c r="P40" s="259"/>
      <c r="Q40" s="259"/>
      <c r="R40" s="260"/>
      <c r="S40" s="260"/>
      <c r="T40" s="24"/>
      <c r="U40" s="340">
        <f t="shared" si="1"/>
        <v>0</v>
      </c>
      <c r="V40" s="341"/>
      <c r="W40" s="327"/>
      <c r="X40" s="328"/>
    </row>
    <row r="41" spans="1:24" ht="22.5" customHeight="1" x14ac:dyDescent="0.25">
      <c r="A41" s="22">
        <v>21</v>
      </c>
      <c r="B41" s="239"/>
      <c r="C41" s="239"/>
      <c r="D41" s="238"/>
      <c r="E41" s="238"/>
      <c r="F41" s="239"/>
      <c r="G41" s="239"/>
      <c r="H41" s="238"/>
      <c r="I41" s="238"/>
      <c r="J41" s="309">
        <f t="shared" si="0"/>
        <v>0</v>
      </c>
      <c r="K41" s="309"/>
      <c r="L41" s="343"/>
      <c r="M41" s="22">
        <v>21</v>
      </c>
      <c r="N41" s="239"/>
      <c r="O41" s="239"/>
      <c r="P41" s="238"/>
      <c r="Q41" s="238"/>
      <c r="R41" s="239"/>
      <c r="S41" s="239"/>
      <c r="T41" s="23"/>
      <c r="U41" s="256">
        <f t="shared" si="1"/>
        <v>0</v>
      </c>
      <c r="V41" s="257"/>
      <c r="W41" s="327"/>
      <c r="X41" s="328"/>
    </row>
    <row r="42" spans="1:24" ht="22.5" customHeight="1" x14ac:dyDescent="0.25">
      <c r="A42" s="14">
        <v>22</v>
      </c>
      <c r="B42" s="252"/>
      <c r="C42" s="252"/>
      <c r="D42" s="251"/>
      <c r="E42" s="251"/>
      <c r="F42" s="252"/>
      <c r="G42" s="252"/>
      <c r="H42" s="251"/>
      <c r="I42" s="251"/>
      <c r="J42" s="323">
        <f t="shared" si="0"/>
        <v>0</v>
      </c>
      <c r="K42" s="324"/>
      <c r="L42" s="343"/>
      <c r="M42" s="15">
        <v>22</v>
      </c>
      <c r="N42" s="260"/>
      <c r="O42" s="260"/>
      <c r="P42" s="259"/>
      <c r="Q42" s="259"/>
      <c r="R42" s="260"/>
      <c r="S42" s="260"/>
      <c r="T42" s="24"/>
      <c r="U42" s="340">
        <f t="shared" si="1"/>
        <v>0</v>
      </c>
      <c r="V42" s="341"/>
      <c r="W42" s="327"/>
      <c r="X42" s="328"/>
    </row>
    <row r="43" spans="1:24" ht="22.5" customHeight="1" x14ac:dyDescent="0.25">
      <c r="A43" s="22">
        <v>23</v>
      </c>
      <c r="B43" s="239"/>
      <c r="C43" s="239"/>
      <c r="D43" s="238"/>
      <c r="E43" s="238"/>
      <c r="F43" s="239"/>
      <c r="G43" s="239"/>
      <c r="H43" s="238"/>
      <c r="I43" s="238"/>
      <c r="J43" s="309">
        <f t="shared" si="0"/>
        <v>0</v>
      </c>
      <c r="K43" s="309"/>
      <c r="L43" s="343"/>
      <c r="M43" s="22">
        <v>23</v>
      </c>
      <c r="N43" s="239"/>
      <c r="O43" s="239"/>
      <c r="P43" s="238"/>
      <c r="Q43" s="238"/>
      <c r="R43" s="239"/>
      <c r="S43" s="239"/>
      <c r="T43" s="23"/>
      <c r="U43" s="256">
        <f t="shared" si="1"/>
        <v>0</v>
      </c>
      <c r="V43" s="257"/>
      <c r="W43" s="327"/>
      <c r="X43" s="328"/>
    </row>
    <row r="44" spans="1:24" ht="22.5" customHeight="1" x14ac:dyDescent="0.25">
      <c r="A44" s="14">
        <v>24</v>
      </c>
      <c r="B44" s="252"/>
      <c r="C44" s="252"/>
      <c r="D44" s="251"/>
      <c r="E44" s="251"/>
      <c r="F44" s="252"/>
      <c r="G44" s="252"/>
      <c r="H44" s="251"/>
      <c r="I44" s="251"/>
      <c r="J44" s="323">
        <f t="shared" si="0"/>
        <v>0</v>
      </c>
      <c r="K44" s="324"/>
      <c r="L44" s="343"/>
      <c r="M44" s="15">
        <v>24</v>
      </c>
      <c r="N44" s="260"/>
      <c r="O44" s="260"/>
      <c r="P44" s="259"/>
      <c r="Q44" s="259"/>
      <c r="R44" s="260"/>
      <c r="S44" s="260"/>
      <c r="T44" s="24"/>
      <c r="U44" s="340">
        <f t="shared" si="1"/>
        <v>0</v>
      </c>
      <c r="V44" s="341"/>
      <c r="W44" s="327"/>
      <c r="X44" s="328"/>
    </row>
    <row r="45" spans="1:24" ht="22.5" customHeight="1" x14ac:dyDescent="0.25">
      <c r="A45" s="22">
        <v>25</v>
      </c>
      <c r="B45" s="239"/>
      <c r="C45" s="239"/>
      <c r="D45" s="238"/>
      <c r="E45" s="238"/>
      <c r="F45" s="239"/>
      <c r="G45" s="239"/>
      <c r="H45" s="238"/>
      <c r="I45" s="238"/>
      <c r="J45" s="309">
        <f t="shared" si="0"/>
        <v>0</v>
      </c>
      <c r="K45" s="309"/>
      <c r="L45" s="343"/>
      <c r="M45" s="22">
        <v>25</v>
      </c>
      <c r="N45" s="239"/>
      <c r="O45" s="239"/>
      <c r="P45" s="238"/>
      <c r="Q45" s="238"/>
      <c r="R45" s="239"/>
      <c r="S45" s="239"/>
      <c r="T45" s="23"/>
      <c r="U45" s="256">
        <f t="shared" si="1"/>
        <v>0</v>
      </c>
      <c r="V45" s="257"/>
      <c r="W45" s="327"/>
      <c r="X45" s="328"/>
    </row>
    <row r="46" spans="1:24" ht="22.5" customHeight="1" x14ac:dyDescent="0.25">
      <c r="A46" s="14">
        <v>26</v>
      </c>
      <c r="B46" s="252"/>
      <c r="C46" s="252"/>
      <c r="D46" s="251"/>
      <c r="E46" s="251"/>
      <c r="F46" s="252"/>
      <c r="G46" s="252"/>
      <c r="H46" s="251"/>
      <c r="I46" s="251"/>
      <c r="J46" s="323">
        <f t="shared" si="0"/>
        <v>0</v>
      </c>
      <c r="K46" s="324"/>
      <c r="L46" s="343"/>
      <c r="M46" s="15">
        <v>26</v>
      </c>
      <c r="N46" s="260"/>
      <c r="O46" s="260"/>
      <c r="P46" s="259"/>
      <c r="Q46" s="259"/>
      <c r="R46" s="260"/>
      <c r="S46" s="260"/>
      <c r="T46" s="24"/>
      <c r="U46" s="340">
        <f t="shared" si="1"/>
        <v>0</v>
      </c>
      <c r="V46" s="341"/>
      <c r="W46" s="327"/>
      <c r="X46" s="328"/>
    </row>
    <row r="47" spans="1:24" ht="22.5" customHeight="1" x14ac:dyDescent="0.25">
      <c r="A47" s="22">
        <v>27</v>
      </c>
      <c r="B47" s="239"/>
      <c r="C47" s="239"/>
      <c r="D47" s="238"/>
      <c r="E47" s="238"/>
      <c r="F47" s="239"/>
      <c r="G47" s="239"/>
      <c r="H47" s="238"/>
      <c r="I47" s="238"/>
      <c r="J47" s="309">
        <f t="shared" si="0"/>
        <v>0</v>
      </c>
      <c r="K47" s="309"/>
      <c r="L47" s="343"/>
      <c r="M47" s="22">
        <v>27</v>
      </c>
      <c r="N47" s="239"/>
      <c r="O47" s="239"/>
      <c r="P47" s="238"/>
      <c r="Q47" s="238"/>
      <c r="R47" s="239"/>
      <c r="S47" s="239"/>
      <c r="T47" s="23"/>
      <c r="U47" s="256">
        <f t="shared" si="1"/>
        <v>0</v>
      </c>
      <c r="V47" s="257"/>
      <c r="W47" s="327"/>
      <c r="X47" s="328"/>
    </row>
    <row r="48" spans="1:24" ht="22.5" customHeight="1" x14ac:dyDescent="0.25">
      <c r="A48" s="14">
        <v>28</v>
      </c>
      <c r="B48" s="252"/>
      <c r="C48" s="252"/>
      <c r="D48" s="251"/>
      <c r="E48" s="251"/>
      <c r="F48" s="252"/>
      <c r="G48" s="252"/>
      <c r="H48" s="251"/>
      <c r="I48" s="251"/>
      <c r="J48" s="323">
        <f t="shared" si="0"/>
        <v>0</v>
      </c>
      <c r="K48" s="324"/>
      <c r="L48" s="343"/>
      <c r="M48" s="15">
        <v>28</v>
      </c>
      <c r="N48" s="260"/>
      <c r="O48" s="260"/>
      <c r="P48" s="259"/>
      <c r="Q48" s="259"/>
      <c r="R48" s="260"/>
      <c r="S48" s="260"/>
      <c r="T48" s="24"/>
      <c r="U48" s="340">
        <f t="shared" si="1"/>
        <v>0</v>
      </c>
      <c r="V48" s="341"/>
      <c r="W48" s="327"/>
      <c r="X48" s="328"/>
    </row>
    <row r="49" spans="1:24" ht="22.5" customHeight="1" x14ac:dyDescent="0.25">
      <c r="A49" s="22">
        <v>29</v>
      </c>
      <c r="B49" s="239"/>
      <c r="C49" s="239"/>
      <c r="D49" s="238"/>
      <c r="E49" s="238"/>
      <c r="F49" s="239"/>
      <c r="G49" s="239"/>
      <c r="H49" s="238"/>
      <c r="I49" s="238"/>
      <c r="J49" s="309">
        <f t="shared" si="0"/>
        <v>0</v>
      </c>
      <c r="K49" s="309"/>
      <c r="L49" s="343"/>
      <c r="M49" s="22">
        <v>29</v>
      </c>
      <c r="N49" s="239"/>
      <c r="O49" s="239"/>
      <c r="P49" s="238"/>
      <c r="Q49" s="238"/>
      <c r="R49" s="239"/>
      <c r="S49" s="239"/>
      <c r="T49" s="23"/>
      <c r="U49" s="256">
        <f t="shared" si="1"/>
        <v>0</v>
      </c>
      <c r="V49" s="257"/>
      <c r="W49" s="327"/>
      <c r="X49" s="328"/>
    </row>
    <row r="50" spans="1:24" ht="22.5" customHeight="1" x14ac:dyDescent="0.25">
      <c r="A50" s="14">
        <v>30</v>
      </c>
      <c r="B50" s="252"/>
      <c r="C50" s="252"/>
      <c r="D50" s="251"/>
      <c r="E50" s="251"/>
      <c r="F50" s="252"/>
      <c r="G50" s="252"/>
      <c r="H50" s="251"/>
      <c r="I50" s="251"/>
      <c r="J50" s="323">
        <f t="shared" si="0"/>
        <v>0</v>
      </c>
      <c r="K50" s="324"/>
      <c r="L50" s="343"/>
      <c r="M50" s="15">
        <v>30</v>
      </c>
      <c r="N50" s="260"/>
      <c r="O50" s="260"/>
      <c r="P50" s="259"/>
      <c r="Q50" s="259"/>
      <c r="R50" s="260"/>
      <c r="S50" s="260"/>
      <c r="T50" s="24"/>
      <c r="U50" s="340">
        <f t="shared" si="1"/>
        <v>0</v>
      </c>
      <c r="V50" s="341"/>
      <c r="W50" s="327"/>
      <c r="X50" s="328"/>
    </row>
    <row r="51" spans="1:24" ht="22.5" customHeight="1" x14ac:dyDescent="0.25">
      <c r="A51" s="22">
        <v>31</v>
      </c>
      <c r="B51" s="239"/>
      <c r="C51" s="239"/>
      <c r="D51" s="238"/>
      <c r="E51" s="238"/>
      <c r="F51" s="239"/>
      <c r="G51" s="239"/>
      <c r="H51" s="238"/>
      <c r="I51" s="238"/>
      <c r="J51" s="309">
        <f t="shared" si="0"/>
        <v>0</v>
      </c>
      <c r="K51" s="309"/>
      <c r="L51" s="343"/>
      <c r="M51" s="22">
        <v>31</v>
      </c>
      <c r="N51" s="239"/>
      <c r="O51" s="239"/>
      <c r="P51" s="238"/>
      <c r="Q51" s="238"/>
      <c r="R51" s="239"/>
      <c r="S51" s="239"/>
      <c r="T51" s="23"/>
      <c r="U51" s="256">
        <f t="shared" si="1"/>
        <v>0</v>
      </c>
      <c r="V51" s="257"/>
      <c r="W51" s="327"/>
      <c r="X51" s="328"/>
    </row>
    <row r="52" spans="1:24" ht="22.5" customHeight="1" x14ac:dyDescent="0.25">
      <c r="A52" s="14">
        <v>32</v>
      </c>
      <c r="B52" s="252"/>
      <c r="C52" s="252"/>
      <c r="D52" s="251"/>
      <c r="E52" s="251"/>
      <c r="F52" s="252"/>
      <c r="G52" s="252"/>
      <c r="H52" s="251"/>
      <c r="I52" s="251"/>
      <c r="J52" s="323">
        <f t="shared" si="0"/>
        <v>0</v>
      </c>
      <c r="K52" s="324"/>
      <c r="L52" s="343"/>
      <c r="M52" s="15">
        <v>32</v>
      </c>
      <c r="N52" s="260"/>
      <c r="O52" s="260"/>
      <c r="P52" s="259"/>
      <c r="Q52" s="259"/>
      <c r="R52" s="260"/>
      <c r="S52" s="260"/>
      <c r="T52" s="24"/>
      <c r="U52" s="340">
        <f t="shared" si="1"/>
        <v>0</v>
      </c>
      <c r="V52" s="341"/>
      <c r="W52" s="327"/>
      <c r="X52" s="328"/>
    </row>
    <row r="53" spans="1:24" ht="22.5" customHeight="1" x14ac:dyDescent="0.25">
      <c r="A53" s="22">
        <v>33</v>
      </c>
      <c r="B53" s="239"/>
      <c r="C53" s="239"/>
      <c r="D53" s="238"/>
      <c r="E53" s="238"/>
      <c r="F53" s="239"/>
      <c r="G53" s="239"/>
      <c r="H53" s="238"/>
      <c r="I53" s="238"/>
      <c r="J53" s="309">
        <f t="shared" si="0"/>
        <v>0</v>
      </c>
      <c r="K53" s="309"/>
      <c r="L53" s="343"/>
      <c r="M53" s="22">
        <v>33</v>
      </c>
      <c r="N53" s="239"/>
      <c r="O53" s="239"/>
      <c r="P53" s="238"/>
      <c r="Q53" s="238"/>
      <c r="R53" s="239"/>
      <c r="S53" s="239"/>
      <c r="T53" s="23"/>
      <c r="U53" s="256">
        <f t="shared" si="1"/>
        <v>0</v>
      </c>
      <c r="V53" s="257"/>
      <c r="W53" s="327"/>
      <c r="X53" s="328"/>
    </row>
    <row r="54" spans="1:24" ht="22.5" customHeight="1" x14ac:dyDescent="0.25">
      <c r="A54" s="14">
        <v>34</v>
      </c>
      <c r="B54" s="252"/>
      <c r="C54" s="252"/>
      <c r="D54" s="251"/>
      <c r="E54" s="251"/>
      <c r="F54" s="252"/>
      <c r="G54" s="252"/>
      <c r="H54" s="251"/>
      <c r="I54" s="251"/>
      <c r="J54" s="323">
        <f t="shared" si="0"/>
        <v>0</v>
      </c>
      <c r="K54" s="324"/>
      <c r="L54" s="343"/>
      <c r="M54" s="15">
        <v>34</v>
      </c>
      <c r="N54" s="260"/>
      <c r="O54" s="260"/>
      <c r="P54" s="259"/>
      <c r="Q54" s="259"/>
      <c r="R54" s="260"/>
      <c r="S54" s="260"/>
      <c r="T54" s="24"/>
      <c r="U54" s="340">
        <f t="shared" si="1"/>
        <v>0</v>
      </c>
      <c r="V54" s="341"/>
      <c r="W54"/>
      <c r="X54"/>
    </row>
    <row r="55" spans="1:24" ht="22.5" customHeight="1" x14ac:dyDescent="0.25">
      <c r="A55" s="22">
        <v>35</v>
      </c>
      <c r="B55" s="239"/>
      <c r="C55" s="239"/>
      <c r="D55" s="238"/>
      <c r="E55" s="238"/>
      <c r="F55" s="239"/>
      <c r="G55" s="239"/>
      <c r="H55" s="238"/>
      <c r="I55" s="238"/>
      <c r="J55" s="309">
        <f t="shared" si="0"/>
        <v>0</v>
      </c>
      <c r="K55" s="309"/>
      <c r="L55" s="343"/>
      <c r="M55" s="22">
        <v>35</v>
      </c>
      <c r="N55" s="239"/>
      <c r="O55" s="239"/>
      <c r="P55" s="238"/>
      <c r="Q55" s="238"/>
      <c r="R55" s="239"/>
      <c r="S55" s="239"/>
      <c r="T55" s="23"/>
      <c r="U55" s="256">
        <f t="shared" si="1"/>
        <v>0</v>
      </c>
      <c r="V55" s="257"/>
      <c r="W55"/>
      <c r="X55"/>
    </row>
    <row r="56" spans="1:24" ht="22.5" customHeight="1" x14ac:dyDescent="0.25">
      <c r="A56" s="14">
        <v>36</v>
      </c>
      <c r="B56" s="252"/>
      <c r="C56" s="252"/>
      <c r="D56" s="251"/>
      <c r="E56" s="251"/>
      <c r="F56" s="252"/>
      <c r="G56" s="252"/>
      <c r="H56" s="251"/>
      <c r="I56" s="251"/>
      <c r="J56" s="323">
        <f t="shared" si="0"/>
        <v>0</v>
      </c>
      <c r="K56" s="324"/>
      <c r="L56" s="343"/>
      <c r="M56" s="15">
        <v>36</v>
      </c>
      <c r="N56" s="260"/>
      <c r="O56" s="260"/>
      <c r="P56" s="259"/>
      <c r="Q56" s="259"/>
      <c r="R56" s="260"/>
      <c r="S56" s="260"/>
      <c r="T56" s="24"/>
      <c r="U56" s="340">
        <f t="shared" si="1"/>
        <v>0</v>
      </c>
      <c r="V56" s="341"/>
      <c r="W56"/>
      <c r="X56"/>
    </row>
    <row r="57" spans="1:24" ht="22.5" customHeight="1" x14ac:dyDescent="0.25">
      <c r="A57" s="22">
        <v>37</v>
      </c>
      <c r="B57" s="239"/>
      <c r="C57" s="239"/>
      <c r="D57" s="238"/>
      <c r="E57" s="238"/>
      <c r="F57" s="239"/>
      <c r="G57" s="239"/>
      <c r="H57" s="238"/>
      <c r="I57" s="238"/>
      <c r="J57" s="309">
        <f t="shared" si="0"/>
        <v>0</v>
      </c>
      <c r="K57" s="309"/>
      <c r="L57" s="343"/>
      <c r="M57" s="22">
        <v>37</v>
      </c>
      <c r="N57" s="239"/>
      <c r="O57" s="239"/>
      <c r="P57" s="238"/>
      <c r="Q57" s="238"/>
      <c r="R57" s="239"/>
      <c r="S57" s="239"/>
      <c r="T57" s="23"/>
      <c r="U57" s="256">
        <f t="shared" si="1"/>
        <v>0</v>
      </c>
      <c r="V57" s="257"/>
      <c r="W57"/>
      <c r="X57"/>
    </row>
    <row r="58" spans="1:24" ht="22.5" customHeight="1" x14ac:dyDescent="0.25">
      <c r="A58" s="14">
        <v>38</v>
      </c>
      <c r="B58" s="252"/>
      <c r="C58" s="252"/>
      <c r="D58" s="251"/>
      <c r="E58" s="251"/>
      <c r="F58" s="252"/>
      <c r="G58" s="252"/>
      <c r="H58" s="251"/>
      <c r="I58" s="251"/>
      <c r="J58" s="323">
        <f t="shared" si="0"/>
        <v>0</v>
      </c>
      <c r="K58" s="324"/>
      <c r="L58" s="343"/>
      <c r="M58" s="15">
        <v>38</v>
      </c>
      <c r="N58" s="260"/>
      <c r="O58" s="260"/>
      <c r="P58" s="259"/>
      <c r="Q58" s="259"/>
      <c r="R58" s="260"/>
      <c r="S58" s="260"/>
      <c r="T58" s="24"/>
      <c r="U58" s="340">
        <f t="shared" si="1"/>
        <v>0</v>
      </c>
      <c r="V58" s="341"/>
      <c r="W58"/>
      <c r="X58"/>
    </row>
    <row r="59" spans="1:24" ht="22.5" customHeight="1" x14ac:dyDescent="0.25">
      <c r="A59" s="22">
        <v>39</v>
      </c>
      <c r="B59" s="239"/>
      <c r="C59" s="239"/>
      <c r="D59" s="238"/>
      <c r="E59" s="238"/>
      <c r="F59" s="239"/>
      <c r="G59" s="239"/>
      <c r="H59" s="238"/>
      <c r="I59" s="238"/>
      <c r="J59" s="309">
        <f t="shared" si="0"/>
        <v>0</v>
      </c>
      <c r="K59" s="309"/>
      <c r="L59" s="343"/>
      <c r="M59" s="22">
        <v>39</v>
      </c>
      <c r="N59" s="239"/>
      <c r="O59" s="239"/>
      <c r="P59" s="238"/>
      <c r="Q59" s="238"/>
      <c r="R59" s="239"/>
      <c r="S59" s="239"/>
      <c r="T59" s="23"/>
      <c r="U59" s="256">
        <f t="shared" si="1"/>
        <v>0</v>
      </c>
      <c r="V59" s="257"/>
      <c r="W59"/>
      <c r="X59"/>
    </row>
    <row r="60" spans="1:24" ht="22.5" customHeight="1" x14ac:dyDescent="0.25">
      <c r="A60" s="14">
        <v>40</v>
      </c>
      <c r="B60" s="252"/>
      <c r="C60" s="252"/>
      <c r="D60" s="251"/>
      <c r="E60" s="251"/>
      <c r="F60" s="252"/>
      <c r="G60" s="252"/>
      <c r="H60" s="251"/>
      <c r="I60" s="251"/>
      <c r="J60" s="323">
        <f t="shared" si="0"/>
        <v>0</v>
      </c>
      <c r="K60" s="324"/>
      <c r="L60" s="343"/>
      <c r="M60" s="15">
        <v>40</v>
      </c>
      <c r="N60" s="260"/>
      <c r="O60" s="260"/>
      <c r="P60" s="259"/>
      <c r="Q60" s="259"/>
      <c r="R60" s="260"/>
      <c r="S60" s="260"/>
      <c r="T60" s="24"/>
      <c r="U60" s="340">
        <f t="shared" si="1"/>
        <v>0</v>
      </c>
      <c r="V60" s="341"/>
      <c r="W60"/>
      <c r="X60"/>
    </row>
    <row r="61" spans="1:24" ht="22.5" customHeight="1" x14ac:dyDescent="0.25">
      <c r="A61" s="22">
        <v>41</v>
      </c>
      <c r="B61" s="239"/>
      <c r="C61" s="239"/>
      <c r="D61" s="238"/>
      <c r="E61" s="238"/>
      <c r="F61" s="239"/>
      <c r="G61" s="239"/>
      <c r="H61" s="238"/>
      <c r="I61" s="238"/>
      <c r="J61" s="309">
        <f t="shared" si="0"/>
        <v>0</v>
      </c>
      <c r="K61" s="309"/>
      <c r="L61" s="343"/>
      <c r="M61" s="22">
        <v>41</v>
      </c>
      <c r="N61" s="239"/>
      <c r="O61" s="239"/>
      <c r="P61" s="238"/>
      <c r="Q61" s="238"/>
      <c r="R61" s="239"/>
      <c r="S61" s="239"/>
      <c r="T61" s="23"/>
      <c r="U61" s="256">
        <f t="shared" si="1"/>
        <v>0</v>
      </c>
      <c r="V61" s="257"/>
      <c r="W61"/>
      <c r="X61"/>
    </row>
    <row r="62" spans="1:24" ht="22.5" customHeight="1" x14ac:dyDescent="0.25">
      <c r="A62" s="14">
        <v>42</v>
      </c>
      <c r="B62" s="252"/>
      <c r="C62" s="252"/>
      <c r="D62" s="251"/>
      <c r="E62" s="251"/>
      <c r="F62" s="252"/>
      <c r="G62" s="252"/>
      <c r="H62" s="251"/>
      <c r="I62" s="251"/>
      <c r="J62" s="323">
        <f t="shared" si="0"/>
        <v>0</v>
      </c>
      <c r="K62" s="324"/>
      <c r="L62" s="343"/>
      <c r="M62" s="15">
        <v>42</v>
      </c>
      <c r="N62" s="260"/>
      <c r="O62" s="260"/>
      <c r="P62" s="259"/>
      <c r="Q62" s="259"/>
      <c r="R62" s="260"/>
      <c r="S62" s="260"/>
      <c r="T62" s="24"/>
      <c r="U62" s="340">
        <f t="shared" si="1"/>
        <v>0</v>
      </c>
      <c r="V62" s="341"/>
      <c r="W62"/>
      <c r="X62"/>
    </row>
    <row r="63" spans="1:24" ht="22.5" customHeight="1" x14ac:dyDescent="0.25">
      <c r="A63" s="22">
        <v>43</v>
      </c>
      <c r="B63" s="239"/>
      <c r="C63" s="239"/>
      <c r="D63" s="238"/>
      <c r="E63" s="238"/>
      <c r="F63" s="239"/>
      <c r="G63" s="239"/>
      <c r="H63" s="238"/>
      <c r="I63" s="238"/>
      <c r="J63" s="309">
        <f t="shared" si="0"/>
        <v>0</v>
      </c>
      <c r="K63" s="309"/>
      <c r="L63" s="343"/>
      <c r="M63" s="22">
        <v>43</v>
      </c>
      <c r="N63" s="239"/>
      <c r="O63" s="239"/>
      <c r="P63" s="238"/>
      <c r="Q63" s="238"/>
      <c r="R63" s="239"/>
      <c r="S63" s="239"/>
      <c r="T63" s="23"/>
      <c r="U63" s="256">
        <f t="shared" si="1"/>
        <v>0</v>
      </c>
      <c r="V63" s="257"/>
      <c r="W63"/>
      <c r="X63"/>
    </row>
    <row r="64" spans="1:24" ht="22.5" customHeight="1" x14ac:dyDescent="0.25">
      <c r="A64" s="14">
        <v>44</v>
      </c>
      <c r="B64" s="252"/>
      <c r="C64" s="252"/>
      <c r="D64" s="251"/>
      <c r="E64" s="251"/>
      <c r="F64" s="252"/>
      <c r="G64" s="252"/>
      <c r="H64" s="251"/>
      <c r="I64" s="251"/>
      <c r="J64" s="323">
        <f t="shared" si="0"/>
        <v>0</v>
      </c>
      <c r="K64" s="324"/>
      <c r="L64" s="343"/>
      <c r="M64" s="15">
        <v>44</v>
      </c>
      <c r="N64" s="260"/>
      <c r="O64" s="260"/>
      <c r="P64" s="259"/>
      <c r="Q64" s="259"/>
      <c r="R64" s="260"/>
      <c r="S64" s="260"/>
      <c r="T64" s="24"/>
      <c r="U64" s="340">
        <f t="shared" si="1"/>
        <v>0</v>
      </c>
      <c r="V64" s="341"/>
      <c r="W64"/>
      <c r="X64"/>
    </row>
    <row r="65" spans="1:24" ht="22.5" customHeight="1" x14ac:dyDescent="0.25">
      <c r="A65" s="22">
        <v>45</v>
      </c>
      <c r="B65" s="239"/>
      <c r="C65" s="239"/>
      <c r="D65" s="238"/>
      <c r="E65" s="238"/>
      <c r="F65" s="239"/>
      <c r="G65" s="239"/>
      <c r="H65" s="238"/>
      <c r="I65" s="238"/>
      <c r="J65" s="309">
        <f t="shared" si="0"/>
        <v>0</v>
      </c>
      <c r="K65" s="309"/>
      <c r="L65" s="343"/>
      <c r="M65" s="22">
        <v>45</v>
      </c>
      <c r="N65" s="239"/>
      <c r="O65" s="239"/>
      <c r="P65" s="238"/>
      <c r="Q65" s="238"/>
      <c r="R65" s="239"/>
      <c r="S65" s="239"/>
      <c r="T65" s="23"/>
      <c r="U65" s="256">
        <f t="shared" si="1"/>
        <v>0</v>
      </c>
      <c r="V65" s="257"/>
      <c r="W65"/>
      <c r="X65"/>
    </row>
    <row r="66" spans="1:24" ht="22.5" customHeight="1" x14ac:dyDescent="0.25">
      <c r="A66" s="14">
        <v>46</v>
      </c>
      <c r="B66" s="252"/>
      <c r="C66" s="252"/>
      <c r="D66" s="251"/>
      <c r="E66" s="251"/>
      <c r="F66" s="252"/>
      <c r="G66" s="252"/>
      <c r="H66" s="251"/>
      <c r="I66" s="251"/>
      <c r="J66" s="323">
        <f t="shared" si="0"/>
        <v>0</v>
      </c>
      <c r="K66" s="324"/>
      <c r="L66" s="343"/>
      <c r="M66" s="15">
        <v>46</v>
      </c>
      <c r="N66" s="260"/>
      <c r="O66" s="260"/>
      <c r="P66" s="259"/>
      <c r="Q66" s="259"/>
      <c r="R66" s="260"/>
      <c r="S66" s="260"/>
      <c r="T66" s="24"/>
      <c r="U66" s="340">
        <f t="shared" si="1"/>
        <v>0</v>
      </c>
      <c r="V66" s="341"/>
      <c r="W66"/>
      <c r="X66"/>
    </row>
    <row r="67" spans="1:24" ht="22.5" customHeight="1" x14ac:dyDescent="0.25">
      <c r="A67" s="22">
        <v>47</v>
      </c>
      <c r="B67" s="239"/>
      <c r="C67" s="239"/>
      <c r="D67" s="238"/>
      <c r="E67" s="238"/>
      <c r="F67" s="239"/>
      <c r="G67" s="239"/>
      <c r="H67" s="238"/>
      <c r="I67" s="238"/>
      <c r="J67" s="309">
        <f t="shared" si="0"/>
        <v>0</v>
      </c>
      <c r="K67" s="309"/>
      <c r="L67" s="343"/>
      <c r="M67" s="22">
        <v>47</v>
      </c>
      <c r="N67" s="239"/>
      <c r="O67" s="239"/>
      <c r="P67" s="238"/>
      <c r="Q67" s="238"/>
      <c r="R67" s="239"/>
      <c r="S67" s="239"/>
      <c r="T67" s="23"/>
      <c r="U67" s="256">
        <f t="shared" si="1"/>
        <v>0</v>
      </c>
      <c r="V67" s="257"/>
      <c r="W67"/>
      <c r="X67"/>
    </row>
    <row r="68" spans="1:24" ht="22.5" customHeight="1" x14ac:dyDescent="0.25">
      <c r="A68" s="14">
        <v>48</v>
      </c>
      <c r="B68" s="252"/>
      <c r="C68" s="252"/>
      <c r="D68" s="251"/>
      <c r="E68" s="251"/>
      <c r="F68" s="252"/>
      <c r="G68" s="252"/>
      <c r="H68" s="251"/>
      <c r="I68" s="251"/>
      <c r="J68" s="323">
        <f t="shared" si="0"/>
        <v>0</v>
      </c>
      <c r="K68" s="324"/>
      <c r="L68" s="343"/>
      <c r="M68" s="15">
        <v>48</v>
      </c>
      <c r="N68" s="260"/>
      <c r="O68" s="260"/>
      <c r="P68" s="259"/>
      <c r="Q68" s="259"/>
      <c r="R68" s="260"/>
      <c r="S68" s="260"/>
      <c r="T68" s="24"/>
      <c r="U68" s="340">
        <f t="shared" si="1"/>
        <v>0</v>
      </c>
      <c r="V68" s="341"/>
      <c r="W68"/>
      <c r="X68"/>
    </row>
    <row r="69" spans="1:24" ht="22.5" customHeight="1" x14ac:dyDescent="0.25">
      <c r="A69" s="22">
        <v>49</v>
      </c>
      <c r="B69" s="239"/>
      <c r="C69" s="239"/>
      <c r="D69" s="238"/>
      <c r="E69" s="238"/>
      <c r="F69" s="239"/>
      <c r="G69" s="239"/>
      <c r="H69" s="238"/>
      <c r="I69" s="238"/>
      <c r="J69" s="309">
        <f t="shared" si="0"/>
        <v>0</v>
      </c>
      <c r="K69" s="309"/>
      <c r="L69" s="343"/>
      <c r="M69" s="22">
        <v>49</v>
      </c>
      <c r="N69" s="239"/>
      <c r="O69" s="239"/>
      <c r="P69" s="238"/>
      <c r="Q69" s="238"/>
      <c r="R69" s="239"/>
      <c r="S69" s="239"/>
      <c r="T69" s="23"/>
      <c r="U69" s="256">
        <f t="shared" si="1"/>
        <v>0</v>
      </c>
      <c r="V69" s="257"/>
      <c r="W69"/>
      <c r="X69"/>
    </row>
    <row r="70" spans="1:24" ht="22.5" customHeight="1" x14ac:dyDescent="0.25">
      <c r="A70" s="14">
        <v>50</v>
      </c>
      <c r="B70" s="252"/>
      <c r="C70" s="252"/>
      <c r="D70" s="251"/>
      <c r="E70" s="251"/>
      <c r="F70" s="252"/>
      <c r="G70" s="252"/>
      <c r="H70" s="251"/>
      <c r="I70" s="251"/>
      <c r="J70" s="323">
        <f t="shared" si="0"/>
        <v>0</v>
      </c>
      <c r="K70" s="324"/>
      <c r="L70" s="343"/>
      <c r="M70" s="15">
        <v>50</v>
      </c>
      <c r="N70" s="260"/>
      <c r="O70" s="260"/>
      <c r="P70" s="259"/>
      <c r="Q70" s="259"/>
      <c r="R70" s="260"/>
      <c r="S70" s="260"/>
      <c r="T70" s="24"/>
      <c r="U70" s="340">
        <f t="shared" si="1"/>
        <v>0</v>
      </c>
      <c r="V70" s="341"/>
      <c r="W70"/>
      <c r="X70"/>
    </row>
    <row r="71" spans="1:24" ht="22.5" customHeight="1" x14ac:dyDescent="0.25">
      <c r="A71" s="22">
        <v>51</v>
      </c>
      <c r="B71" s="239"/>
      <c r="C71" s="239"/>
      <c r="D71" s="238"/>
      <c r="E71" s="238"/>
      <c r="F71" s="239"/>
      <c r="G71" s="239"/>
      <c r="H71" s="238"/>
      <c r="I71" s="238"/>
      <c r="J71" s="309">
        <f t="shared" si="0"/>
        <v>0</v>
      </c>
      <c r="K71" s="309"/>
      <c r="L71" s="343"/>
      <c r="M71" s="22">
        <v>51</v>
      </c>
      <c r="N71" s="239"/>
      <c r="O71" s="239"/>
      <c r="P71" s="238"/>
      <c r="Q71" s="238"/>
      <c r="R71" s="239"/>
      <c r="S71" s="239"/>
      <c r="T71" s="23"/>
      <c r="U71" s="256">
        <f t="shared" si="1"/>
        <v>0</v>
      </c>
      <c r="V71" s="257"/>
      <c r="W71"/>
      <c r="X71"/>
    </row>
    <row r="72" spans="1:24" ht="22.5" customHeight="1" x14ac:dyDescent="0.25">
      <c r="A72" s="14">
        <v>52</v>
      </c>
      <c r="B72" s="252"/>
      <c r="C72" s="252"/>
      <c r="D72" s="251"/>
      <c r="E72" s="251"/>
      <c r="F72" s="252"/>
      <c r="G72" s="252"/>
      <c r="H72" s="251"/>
      <c r="I72" s="251"/>
      <c r="J72" s="323">
        <f t="shared" si="0"/>
        <v>0</v>
      </c>
      <c r="K72" s="324"/>
      <c r="L72" s="343"/>
      <c r="M72" s="15">
        <v>52</v>
      </c>
      <c r="N72" s="260"/>
      <c r="O72" s="260"/>
      <c r="P72" s="259"/>
      <c r="Q72" s="259"/>
      <c r="R72" s="260"/>
      <c r="S72" s="260"/>
      <c r="T72" s="24"/>
      <c r="U72" s="340">
        <f t="shared" si="1"/>
        <v>0</v>
      </c>
      <c r="V72" s="341"/>
      <c r="W72"/>
      <c r="X72"/>
    </row>
    <row r="73" spans="1:24" ht="22.5" customHeight="1" x14ac:dyDescent="0.25">
      <c r="A73" s="22">
        <v>53</v>
      </c>
      <c r="B73" s="239"/>
      <c r="C73" s="239"/>
      <c r="D73" s="238"/>
      <c r="E73" s="238"/>
      <c r="F73" s="239"/>
      <c r="G73" s="239"/>
      <c r="H73" s="238"/>
      <c r="I73" s="238"/>
      <c r="J73" s="309">
        <f t="shared" si="0"/>
        <v>0</v>
      </c>
      <c r="K73" s="309"/>
      <c r="L73" s="343"/>
      <c r="M73" s="22">
        <v>53</v>
      </c>
      <c r="N73" s="239"/>
      <c r="O73" s="239"/>
      <c r="P73" s="238"/>
      <c r="Q73" s="238"/>
      <c r="R73" s="239"/>
      <c r="S73" s="239"/>
      <c r="T73" s="23"/>
      <c r="U73" s="256">
        <f t="shared" si="1"/>
        <v>0</v>
      </c>
      <c r="V73" s="257"/>
      <c r="W73"/>
      <c r="X73"/>
    </row>
    <row r="74" spans="1:24" ht="22.5" customHeight="1" x14ac:dyDescent="0.25">
      <c r="A74" s="14">
        <v>54</v>
      </c>
      <c r="B74" s="252"/>
      <c r="C74" s="252"/>
      <c r="D74" s="251"/>
      <c r="E74" s="251"/>
      <c r="F74" s="252"/>
      <c r="G74" s="252"/>
      <c r="H74" s="251"/>
      <c r="I74" s="251"/>
      <c r="J74" s="323">
        <f t="shared" si="0"/>
        <v>0</v>
      </c>
      <c r="K74" s="324"/>
      <c r="L74" s="343"/>
      <c r="M74" s="15">
        <v>54</v>
      </c>
      <c r="N74" s="260"/>
      <c r="O74" s="260"/>
      <c r="P74" s="259"/>
      <c r="Q74" s="259"/>
      <c r="R74" s="260"/>
      <c r="S74" s="260"/>
      <c r="T74" s="24"/>
      <c r="U74" s="340">
        <f t="shared" si="1"/>
        <v>0</v>
      </c>
      <c r="V74" s="341"/>
      <c r="W74"/>
      <c r="X74"/>
    </row>
    <row r="75" spans="1:24" ht="22.5" customHeight="1" x14ac:dyDescent="0.25">
      <c r="A75" s="22">
        <v>55</v>
      </c>
      <c r="B75" s="239"/>
      <c r="C75" s="239"/>
      <c r="D75" s="238"/>
      <c r="E75" s="238"/>
      <c r="F75" s="239"/>
      <c r="G75" s="239"/>
      <c r="H75" s="238"/>
      <c r="I75" s="238"/>
      <c r="J75" s="309">
        <f t="shared" si="0"/>
        <v>0</v>
      </c>
      <c r="K75" s="309"/>
      <c r="L75" s="343"/>
      <c r="M75" s="22">
        <v>55</v>
      </c>
      <c r="N75" s="239"/>
      <c r="O75" s="239"/>
      <c r="P75" s="238"/>
      <c r="Q75" s="238"/>
      <c r="R75" s="239"/>
      <c r="S75" s="239"/>
      <c r="T75" s="23"/>
      <c r="U75" s="256">
        <f t="shared" si="1"/>
        <v>0</v>
      </c>
      <c r="V75" s="257"/>
      <c r="W75"/>
      <c r="X75"/>
    </row>
    <row r="76" spans="1:24" ht="22.5" customHeight="1" x14ac:dyDescent="0.25">
      <c r="A76" s="14">
        <v>56</v>
      </c>
      <c r="B76" s="252"/>
      <c r="C76" s="252"/>
      <c r="D76" s="251"/>
      <c r="E76" s="251"/>
      <c r="F76" s="252"/>
      <c r="G76" s="252"/>
      <c r="H76" s="251"/>
      <c r="I76" s="251"/>
      <c r="J76" s="323">
        <f t="shared" si="0"/>
        <v>0</v>
      </c>
      <c r="K76" s="324"/>
      <c r="L76" s="343"/>
      <c r="M76" s="15">
        <v>56</v>
      </c>
      <c r="N76" s="260"/>
      <c r="O76" s="260"/>
      <c r="P76" s="259"/>
      <c r="Q76" s="259"/>
      <c r="R76" s="260"/>
      <c r="S76" s="260"/>
      <c r="T76" s="24"/>
      <c r="U76" s="340">
        <f t="shared" si="1"/>
        <v>0</v>
      </c>
      <c r="V76" s="341"/>
      <c r="W76"/>
      <c r="X76"/>
    </row>
    <row r="77" spans="1:24" ht="22.5" customHeight="1" x14ac:dyDescent="0.25">
      <c r="A77" s="22">
        <v>57</v>
      </c>
      <c r="B77" s="239"/>
      <c r="C77" s="239"/>
      <c r="D77" s="238"/>
      <c r="E77" s="238"/>
      <c r="F77" s="239"/>
      <c r="G77" s="239"/>
      <c r="H77" s="238"/>
      <c r="I77" s="238"/>
      <c r="J77" s="309">
        <f t="shared" si="0"/>
        <v>0</v>
      </c>
      <c r="K77" s="309"/>
      <c r="L77" s="343"/>
      <c r="M77" s="22">
        <v>57</v>
      </c>
      <c r="N77" s="239"/>
      <c r="O77" s="239"/>
      <c r="P77" s="238"/>
      <c r="Q77" s="238"/>
      <c r="R77" s="239"/>
      <c r="S77" s="239"/>
      <c r="T77" s="23"/>
      <c r="U77" s="256">
        <f t="shared" si="1"/>
        <v>0</v>
      </c>
      <c r="V77" s="257"/>
      <c r="W77"/>
      <c r="X77"/>
    </row>
    <row r="78" spans="1:24" ht="22.5" customHeight="1" x14ac:dyDescent="0.25">
      <c r="A78" s="14">
        <v>58</v>
      </c>
      <c r="B78" s="252"/>
      <c r="C78" s="252"/>
      <c r="D78" s="251"/>
      <c r="E78" s="251"/>
      <c r="F78" s="252"/>
      <c r="G78" s="252"/>
      <c r="H78" s="251"/>
      <c r="I78" s="251"/>
      <c r="J78" s="323">
        <f t="shared" si="0"/>
        <v>0</v>
      </c>
      <c r="K78" s="324"/>
      <c r="L78" s="343"/>
      <c r="M78" s="15">
        <v>58</v>
      </c>
      <c r="N78" s="260"/>
      <c r="O78" s="260"/>
      <c r="P78" s="259"/>
      <c r="Q78" s="259"/>
      <c r="R78" s="260"/>
      <c r="S78" s="260"/>
      <c r="T78" s="24"/>
      <c r="U78" s="340">
        <f t="shared" si="1"/>
        <v>0</v>
      </c>
      <c r="V78" s="341"/>
      <c r="W78"/>
      <c r="X78"/>
    </row>
    <row r="79" spans="1:24" ht="22.5" customHeight="1" x14ac:dyDescent="0.25">
      <c r="A79" s="22">
        <v>59</v>
      </c>
      <c r="B79" s="239"/>
      <c r="C79" s="239"/>
      <c r="D79" s="238"/>
      <c r="E79" s="238"/>
      <c r="F79" s="239"/>
      <c r="G79" s="239"/>
      <c r="H79" s="238"/>
      <c r="I79" s="238"/>
      <c r="J79" s="309">
        <f t="shared" si="0"/>
        <v>0</v>
      </c>
      <c r="K79" s="309"/>
      <c r="L79" s="343"/>
      <c r="M79" s="22">
        <v>59</v>
      </c>
      <c r="N79" s="239"/>
      <c r="O79" s="239"/>
      <c r="P79" s="238"/>
      <c r="Q79" s="238"/>
      <c r="R79" s="239"/>
      <c r="S79" s="239"/>
      <c r="T79" s="23"/>
      <c r="U79" s="256">
        <f t="shared" si="1"/>
        <v>0</v>
      </c>
      <c r="V79" s="257"/>
      <c r="W79"/>
      <c r="X79"/>
    </row>
    <row r="80" spans="1:24" ht="22.5" customHeight="1" x14ac:dyDescent="0.25">
      <c r="A80" s="14">
        <v>60</v>
      </c>
      <c r="B80" s="252"/>
      <c r="C80" s="252"/>
      <c r="D80" s="251"/>
      <c r="E80" s="251"/>
      <c r="F80" s="252"/>
      <c r="G80" s="252"/>
      <c r="H80" s="251"/>
      <c r="I80" s="251"/>
      <c r="J80" s="323">
        <f t="shared" si="0"/>
        <v>0</v>
      </c>
      <c r="K80" s="324"/>
      <c r="L80" s="343"/>
      <c r="M80" s="15">
        <v>60</v>
      </c>
      <c r="N80" s="260"/>
      <c r="O80" s="260"/>
      <c r="P80" s="259"/>
      <c r="Q80" s="259"/>
      <c r="R80" s="260"/>
      <c r="S80" s="260"/>
      <c r="T80" s="24"/>
      <c r="U80" s="340">
        <f t="shared" si="1"/>
        <v>0</v>
      </c>
      <c r="V80" s="341"/>
      <c r="W80"/>
      <c r="X80"/>
    </row>
    <row r="81" spans="1:24" ht="22.5" customHeight="1" x14ac:dyDescent="0.25">
      <c r="A81" s="22">
        <v>61</v>
      </c>
      <c r="B81" s="239"/>
      <c r="C81" s="239"/>
      <c r="D81" s="238"/>
      <c r="E81" s="238"/>
      <c r="F81" s="239"/>
      <c r="G81" s="239"/>
      <c r="H81" s="238"/>
      <c r="I81" s="238"/>
      <c r="J81" s="309">
        <f t="shared" si="0"/>
        <v>0</v>
      </c>
      <c r="K81" s="309"/>
      <c r="L81" s="343"/>
      <c r="M81" s="22">
        <v>61</v>
      </c>
      <c r="N81" s="239"/>
      <c r="O81" s="239"/>
      <c r="P81" s="238"/>
      <c r="Q81" s="238"/>
      <c r="R81" s="239"/>
      <c r="S81" s="239"/>
      <c r="T81" s="23"/>
      <c r="U81" s="256">
        <f t="shared" si="1"/>
        <v>0</v>
      </c>
      <c r="V81" s="257"/>
      <c r="W81"/>
      <c r="X81"/>
    </row>
    <row r="82" spans="1:24" ht="22.5" customHeight="1" x14ac:dyDescent="0.25">
      <c r="A82" s="14">
        <v>62</v>
      </c>
      <c r="B82" s="252"/>
      <c r="C82" s="252"/>
      <c r="D82" s="251"/>
      <c r="E82" s="251"/>
      <c r="F82" s="252"/>
      <c r="G82" s="252"/>
      <c r="H82" s="251"/>
      <c r="I82" s="251"/>
      <c r="J82" s="323">
        <f t="shared" si="0"/>
        <v>0</v>
      </c>
      <c r="K82" s="324"/>
      <c r="L82" s="343"/>
      <c r="M82" s="15">
        <v>62</v>
      </c>
      <c r="N82" s="260"/>
      <c r="O82" s="260"/>
      <c r="P82" s="259"/>
      <c r="Q82" s="259"/>
      <c r="R82" s="260"/>
      <c r="S82" s="260"/>
      <c r="T82" s="24"/>
      <c r="U82" s="340">
        <f t="shared" si="1"/>
        <v>0</v>
      </c>
      <c r="V82" s="341"/>
      <c r="W82"/>
      <c r="X82"/>
    </row>
    <row r="83" spans="1:24" ht="22.5" customHeight="1" x14ac:dyDescent="0.25">
      <c r="A83" s="22">
        <v>63</v>
      </c>
      <c r="B83" s="239"/>
      <c r="C83" s="239"/>
      <c r="D83" s="238"/>
      <c r="E83" s="238"/>
      <c r="F83" s="239"/>
      <c r="G83" s="239"/>
      <c r="H83" s="238"/>
      <c r="I83" s="238"/>
      <c r="J83" s="309">
        <f t="shared" si="0"/>
        <v>0</v>
      </c>
      <c r="K83" s="309"/>
      <c r="L83" s="343"/>
      <c r="M83" s="22">
        <v>63</v>
      </c>
      <c r="N83" s="239"/>
      <c r="O83" s="239"/>
      <c r="P83" s="238"/>
      <c r="Q83" s="238"/>
      <c r="R83" s="239"/>
      <c r="S83" s="239"/>
      <c r="T83" s="23"/>
      <c r="U83" s="256">
        <f t="shared" si="1"/>
        <v>0</v>
      </c>
      <c r="V83" s="257"/>
      <c r="W83"/>
      <c r="X83"/>
    </row>
    <row r="84" spans="1:24" ht="22.5" customHeight="1" x14ac:dyDescent="0.25">
      <c r="A84" s="14">
        <v>64</v>
      </c>
      <c r="B84" s="252"/>
      <c r="C84" s="252"/>
      <c r="D84" s="251"/>
      <c r="E84" s="251"/>
      <c r="F84" s="252"/>
      <c r="G84" s="252"/>
      <c r="H84" s="251"/>
      <c r="I84" s="251"/>
      <c r="J84" s="323">
        <f t="shared" si="0"/>
        <v>0</v>
      </c>
      <c r="K84" s="324"/>
      <c r="L84" s="343"/>
      <c r="M84" s="15">
        <v>64</v>
      </c>
      <c r="N84" s="260"/>
      <c r="O84" s="260"/>
      <c r="P84" s="259"/>
      <c r="Q84" s="259"/>
      <c r="R84" s="260"/>
      <c r="S84" s="260"/>
      <c r="T84" s="24"/>
      <c r="U84" s="340">
        <f t="shared" si="1"/>
        <v>0</v>
      </c>
      <c r="V84" s="341"/>
      <c r="W84"/>
      <c r="X84"/>
    </row>
    <row r="85" spans="1:24" ht="22.5" customHeight="1" x14ac:dyDescent="0.25">
      <c r="A85" s="22">
        <v>65</v>
      </c>
      <c r="B85" s="239"/>
      <c r="C85" s="239"/>
      <c r="D85" s="238"/>
      <c r="E85" s="238"/>
      <c r="F85" s="239"/>
      <c r="G85" s="239"/>
      <c r="H85" s="238"/>
      <c r="I85" s="238"/>
      <c r="J85" s="309">
        <f t="shared" si="0"/>
        <v>0</v>
      </c>
      <c r="K85" s="309"/>
      <c r="L85" s="343"/>
      <c r="M85" s="22">
        <v>65</v>
      </c>
      <c r="N85" s="239"/>
      <c r="O85" s="239"/>
      <c r="P85" s="238"/>
      <c r="Q85" s="238"/>
      <c r="R85" s="239"/>
      <c r="S85" s="239"/>
      <c r="T85" s="23"/>
      <c r="U85" s="256">
        <f t="shared" si="1"/>
        <v>0</v>
      </c>
      <c r="V85" s="257"/>
      <c r="W85"/>
      <c r="X85"/>
    </row>
    <row r="86" spans="1:24" ht="22.5" customHeight="1" x14ac:dyDescent="0.25">
      <c r="A86" s="14">
        <v>66</v>
      </c>
      <c r="B86" s="252"/>
      <c r="C86" s="252"/>
      <c r="D86" s="251"/>
      <c r="E86" s="251"/>
      <c r="F86" s="252"/>
      <c r="G86" s="252"/>
      <c r="H86" s="251"/>
      <c r="I86" s="251"/>
      <c r="J86" s="323">
        <f t="shared" ref="J86:J149" si="2">D86*F86+H86</f>
        <v>0</v>
      </c>
      <c r="K86" s="324"/>
      <c r="L86" s="343"/>
      <c r="M86" s="15">
        <v>66</v>
      </c>
      <c r="N86" s="260"/>
      <c r="O86" s="260"/>
      <c r="P86" s="259"/>
      <c r="Q86" s="259"/>
      <c r="R86" s="260"/>
      <c r="S86" s="260"/>
      <c r="T86" s="24"/>
      <c r="U86" s="340">
        <f t="shared" si="1"/>
        <v>0</v>
      </c>
      <c r="V86" s="341"/>
      <c r="W86"/>
      <c r="X86"/>
    </row>
    <row r="87" spans="1:24" ht="22.5" customHeight="1" x14ac:dyDescent="0.25">
      <c r="A87" s="22">
        <v>67</v>
      </c>
      <c r="B87" s="239"/>
      <c r="C87" s="239"/>
      <c r="D87" s="238"/>
      <c r="E87" s="238"/>
      <c r="F87" s="239"/>
      <c r="G87" s="239"/>
      <c r="H87" s="238"/>
      <c r="I87" s="238"/>
      <c r="J87" s="309">
        <f t="shared" si="2"/>
        <v>0</v>
      </c>
      <c r="K87" s="309"/>
      <c r="L87" s="343"/>
      <c r="M87" s="22">
        <v>67</v>
      </c>
      <c r="N87" s="239"/>
      <c r="O87" s="239"/>
      <c r="P87" s="238"/>
      <c r="Q87" s="238"/>
      <c r="R87" s="239"/>
      <c r="S87" s="239"/>
      <c r="T87" s="23"/>
      <c r="U87" s="256">
        <f t="shared" ref="U87:U150" si="3">P87+R87</f>
        <v>0</v>
      </c>
      <c r="V87" s="257"/>
      <c r="W87"/>
      <c r="X87"/>
    </row>
    <row r="88" spans="1:24" ht="22.5" customHeight="1" x14ac:dyDescent="0.25">
      <c r="A88" s="14">
        <v>68</v>
      </c>
      <c r="B88" s="252"/>
      <c r="C88" s="252"/>
      <c r="D88" s="251"/>
      <c r="E88" s="251"/>
      <c r="F88" s="252"/>
      <c r="G88" s="252"/>
      <c r="H88" s="251"/>
      <c r="I88" s="251"/>
      <c r="J88" s="323">
        <f t="shared" si="2"/>
        <v>0</v>
      </c>
      <c r="K88" s="324"/>
      <c r="L88" s="343"/>
      <c r="M88" s="15">
        <v>68</v>
      </c>
      <c r="N88" s="260"/>
      <c r="O88" s="260"/>
      <c r="P88" s="259"/>
      <c r="Q88" s="259"/>
      <c r="R88" s="260"/>
      <c r="S88" s="260"/>
      <c r="T88" s="24"/>
      <c r="U88" s="340">
        <f t="shared" si="3"/>
        <v>0</v>
      </c>
      <c r="V88" s="341"/>
      <c r="W88"/>
      <c r="X88"/>
    </row>
    <row r="89" spans="1:24" ht="22.5" customHeight="1" x14ac:dyDescent="0.25">
      <c r="A89" s="22">
        <v>69</v>
      </c>
      <c r="B89" s="239"/>
      <c r="C89" s="239"/>
      <c r="D89" s="238"/>
      <c r="E89" s="238"/>
      <c r="F89" s="239"/>
      <c r="G89" s="239"/>
      <c r="H89" s="238"/>
      <c r="I89" s="238"/>
      <c r="J89" s="309">
        <f t="shared" si="2"/>
        <v>0</v>
      </c>
      <c r="K89" s="309"/>
      <c r="L89" s="343"/>
      <c r="M89" s="22">
        <v>69</v>
      </c>
      <c r="N89" s="239"/>
      <c r="O89" s="239"/>
      <c r="P89" s="238"/>
      <c r="Q89" s="238"/>
      <c r="R89" s="239"/>
      <c r="S89" s="239"/>
      <c r="T89" s="23"/>
      <c r="U89" s="256">
        <f t="shared" si="3"/>
        <v>0</v>
      </c>
      <c r="V89" s="257"/>
      <c r="W89"/>
      <c r="X89"/>
    </row>
    <row r="90" spans="1:24" ht="22.5" customHeight="1" x14ac:dyDescent="0.25">
      <c r="A90" s="14">
        <v>70</v>
      </c>
      <c r="B90" s="252"/>
      <c r="C90" s="252"/>
      <c r="D90" s="251"/>
      <c r="E90" s="251"/>
      <c r="F90" s="252"/>
      <c r="G90" s="252"/>
      <c r="H90" s="251"/>
      <c r="I90" s="251"/>
      <c r="J90" s="323">
        <f t="shared" si="2"/>
        <v>0</v>
      </c>
      <c r="K90" s="324"/>
      <c r="L90" s="343"/>
      <c r="M90" s="15">
        <v>70</v>
      </c>
      <c r="N90" s="260"/>
      <c r="O90" s="260"/>
      <c r="P90" s="259"/>
      <c r="Q90" s="259"/>
      <c r="R90" s="260"/>
      <c r="S90" s="260"/>
      <c r="T90" s="24"/>
      <c r="U90" s="340">
        <f t="shared" si="3"/>
        <v>0</v>
      </c>
      <c r="V90" s="341"/>
      <c r="W90"/>
      <c r="X90"/>
    </row>
    <row r="91" spans="1:24" ht="22.5" customHeight="1" x14ac:dyDescent="0.25">
      <c r="A91" s="22">
        <v>71</v>
      </c>
      <c r="B91" s="239"/>
      <c r="C91" s="239"/>
      <c r="D91" s="238"/>
      <c r="E91" s="238"/>
      <c r="F91" s="239"/>
      <c r="G91" s="239"/>
      <c r="H91" s="238"/>
      <c r="I91" s="238"/>
      <c r="J91" s="309">
        <f t="shared" si="2"/>
        <v>0</v>
      </c>
      <c r="K91" s="309"/>
      <c r="L91" s="343"/>
      <c r="M91" s="22">
        <v>71</v>
      </c>
      <c r="N91" s="239"/>
      <c r="O91" s="239"/>
      <c r="P91" s="238"/>
      <c r="Q91" s="238"/>
      <c r="R91" s="239"/>
      <c r="S91" s="239"/>
      <c r="T91" s="23"/>
      <c r="U91" s="256">
        <f t="shared" si="3"/>
        <v>0</v>
      </c>
      <c r="V91" s="257"/>
      <c r="W91"/>
      <c r="X91"/>
    </row>
    <row r="92" spans="1:24" ht="22.5" customHeight="1" x14ac:dyDescent="0.25">
      <c r="A92" s="14">
        <v>72</v>
      </c>
      <c r="B92" s="252"/>
      <c r="C92" s="252"/>
      <c r="D92" s="251"/>
      <c r="E92" s="251"/>
      <c r="F92" s="252"/>
      <c r="G92" s="252"/>
      <c r="H92" s="251"/>
      <c r="I92" s="251"/>
      <c r="J92" s="323">
        <f t="shared" si="2"/>
        <v>0</v>
      </c>
      <c r="K92" s="324"/>
      <c r="L92" s="343"/>
      <c r="M92" s="15">
        <v>72</v>
      </c>
      <c r="N92" s="260"/>
      <c r="O92" s="260"/>
      <c r="P92" s="259"/>
      <c r="Q92" s="259"/>
      <c r="R92" s="260"/>
      <c r="S92" s="260"/>
      <c r="T92" s="24"/>
      <c r="U92" s="340">
        <f t="shared" si="3"/>
        <v>0</v>
      </c>
      <c r="V92" s="341"/>
      <c r="W92"/>
      <c r="X92"/>
    </row>
    <row r="93" spans="1:24" ht="22.5" customHeight="1" x14ac:dyDescent="0.25">
      <c r="A93" s="22">
        <v>73</v>
      </c>
      <c r="B93" s="239"/>
      <c r="C93" s="239"/>
      <c r="D93" s="238"/>
      <c r="E93" s="238"/>
      <c r="F93" s="239"/>
      <c r="G93" s="239"/>
      <c r="H93" s="238"/>
      <c r="I93" s="238"/>
      <c r="J93" s="309">
        <f t="shared" si="2"/>
        <v>0</v>
      </c>
      <c r="K93" s="309"/>
      <c r="L93" s="343"/>
      <c r="M93" s="22">
        <v>73</v>
      </c>
      <c r="N93" s="239"/>
      <c r="O93" s="239"/>
      <c r="P93" s="238"/>
      <c r="Q93" s="238"/>
      <c r="R93" s="239"/>
      <c r="S93" s="239"/>
      <c r="T93" s="23"/>
      <c r="U93" s="256">
        <f t="shared" si="3"/>
        <v>0</v>
      </c>
      <c r="V93" s="257"/>
      <c r="W93"/>
      <c r="X93"/>
    </row>
    <row r="94" spans="1:24" ht="22.5" customHeight="1" x14ac:dyDescent="0.25">
      <c r="A94" s="14">
        <v>74</v>
      </c>
      <c r="B94" s="252"/>
      <c r="C94" s="252"/>
      <c r="D94" s="251"/>
      <c r="E94" s="251"/>
      <c r="F94" s="252"/>
      <c r="G94" s="252"/>
      <c r="H94" s="251"/>
      <c r="I94" s="251"/>
      <c r="J94" s="323">
        <f t="shared" si="2"/>
        <v>0</v>
      </c>
      <c r="K94" s="324"/>
      <c r="L94" s="343"/>
      <c r="M94" s="15">
        <v>74</v>
      </c>
      <c r="N94" s="260"/>
      <c r="O94" s="260"/>
      <c r="P94" s="259"/>
      <c r="Q94" s="259"/>
      <c r="R94" s="260"/>
      <c r="S94" s="260"/>
      <c r="T94" s="24"/>
      <c r="U94" s="340">
        <f t="shared" si="3"/>
        <v>0</v>
      </c>
      <c r="V94" s="341"/>
      <c r="W94"/>
      <c r="X94"/>
    </row>
    <row r="95" spans="1:24" ht="22.5" customHeight="1" x14ac:dyDescent="0.25">
      <c r="A95" s="22">
        <v>75</v>
      </c>
      <c r="B95" s="239"/>
      <c r="C95" s="239"/>
      <c r="D95" s="238"/>
      <c r="E95" s="238"/>
      <c r="F95" s="239"/>
      <c r="G95" s="239"/>
      <c r="H95" s="238"/>
      <c r="I95" s="238"/>
      <c r="J95" s="309">
        <f t="shared" si="2"/>
        <v>0</v>
      </c>
      <c r="K95" s="309"/>
      <c r="L95" s="343"/>
      <c r="M95" s="22">
        <v>75</v>
      </c>
      <c r="N95" s="239"/>
      <c r="O95" s="239"/>
      <c r="P95" s="238"/>
      <c r="Q95" s="238"/>
      <c r="R95" s="239"/>
      <c r="S95" s="239"/>
      <c r="T95" s="23"/>
      <c r="U95" s="256">
        <f t="shared" si="3"/>
        <v>0</v>
      </c>
      <c r="V95" s="257"/>
      <c r="W95"/>
      <c r="X95"/>
    </row>
    <row r="96" spans="1:24" ht="22.5" customHeight="1" x14ac:dyDescent="0.25">
      <c r="A96" s="14">
        <v>76</v>
      </c>
      <c r="B96" s="252"/>
      <c r="C96" s="252"/>
      <c r="D96" s="251"/>
      <c r="E96" s="251"/>
      <c r="F96" s="252"/>
      <c r="G96" s="252"/>
      <c r="H96" s="251"/>
      <c r="I96" s="251"/>
      <c r="J96" s="323">
        <f t="shared" si="2"/>
        <v>0</v>
      </c>
      <c r="K96" s="324"/>
      <c r="L96" s="343"/>
      <c r="M96" s="15">
        <v>76</v>
      </c>
      <c r="N96" s="260"/>
      <c r="O96" s="260"/>
      <c r="P96" s="259"/>
      <c r="Q96" s="259"/>
      <c r="R96" s="260"/>
      <c r="S96" s="260"/>
      <c r="T96" s="24"/>
      <c r="U96" s="340">
        <f t="shared" si="3"/>
        <v>0</v>
      </c>
      <c r="V96" s="341"/>
      <c r="W96"/>
      <c r="X96"/>
    </row>
    <row r="97" spans="1:24" ht="22.5" customHeight="1" x14ac:dyDescent="0.25">
      <c r="A97" s="22">
        <v>77</v>
      </c>
      <c r="B97" s="239"/>
      <c r="C97" s="239"/>
      <c r="D97" s="238"/>
      <c r="E97" s="238"/>
      <c r="F97" s="239"/>
      <c r="G97" s="239"/>
      <c r="H97" s="238"/>
      <c r="I97" s="238"/>
      <c r="J97" s="309">
        <f t="shared" si="2"/>
        <v>0</v>
      </c>
      <c r="K97" s="309"/>
      <c r="L97" s="343"/>
      <c r="M97" s="22">
        <v>77</v>
      </c>
      <c r="N97" s="239"/>
      <c r="O97" s="239"/>
      <c r="P97" s="238"/>
      <c r="Q97" s="238"/>
      <c r="R97" s="239"/>
      <c r="S97" s="239"/>
      <c r="T97" s="23"/>
      <c r="U97" s="256">
        <f t="shared" si="3"/>
        <v>0</v>
      </c>
      <c r="V97" s="257"/>
      <c r="W97"/>
      <c r="X97"/>
    </row>
    <row r="98" spans="1:24" ht="22.5" customHeight="1" x14ac:dyDescent="0.25">
      <c r="A98" s="14">
        <v>78</v>
      </c>
      <c r="B98" s="252"/>
      <c r="C98" s="252"/>
      <c r="D98" s="251"/>
      <c r="E98" s="251"/>
      <c r="F98" s="252"/>
      <c r="G98" s="252"/>
      <c r="H98" s="251"/>
      <c r="I98" s="251"/>
      <c r="J98" s="323">
        <f t="shared" si="2"/>
        <v>0</v>
      </c>
      <c r="K98" s="324"/>
      <c r="L98" s="343"/>
      <c r="M98" s="15">
        <v>78</v>
      </c>
      <c r="N98" s="260"/>
      <c r="O98" s="260"/>
      <c r="P98" s="259"/>
      <c r="Q98" s="259"/>
      <c r="R98" s="260"/>
      <c r="S98" s="260"/>
      <c r="T98" s="24"/>
      <c r="U98" s="340">
        <f t="shared" si="3"/>
        <v>0</v>
      </c>
      <c r="V98" s="341"/>
      <c r="W98"/>
      <c r="X98"/>
    </row>
    <row r="99" spans="1:24" ht="22.5" customHeight="1" x14ac:dyDescent="0.25">
      <c r="A99" s="22">
        <v>79</v>
      </c>
      <c r="B99" s="239"/>
      <c r="C99" s="239"/>
      <c r="D99" s="238"/>
      <c r="E99" s="238"/>
      <c r="F99" s="239"/>
      <c r="G99" s="239"/>
      <c r="H99" s="238"/>
      <c r="I99" s="238"/>
      <c r="J99" s="309">
        <f t="shared" si="2"/>
        <v>0</v>
      </c>
      <c r="K99" s="309"/>
      <c r="L99" s="343"/>
      <c r="M99" s="22">
        <v>79</v>
      </c>
      <c r="N99" s="239"/>
      <c r="O99" s="239"/>
      <c r="P99" s="238"/>
      <c r="Q99" s="238"/>
      <c r="R99" s="239"/>
      <c r="S99" s="239"/>
      <c r="T99" s="23"/>
      <c r="U99" s="256">
        <f t="shared" si="3"/>
        <v>0</v>
      </c>
      <c r="V99" s="257"/>
      <c r="W99"/>
      <c r="X99"/>
    </row>
    <row r="100" spans="1:24" ht="22.5" customHeight="1" x14ac:dyDescent="0.25">
      <c r="A100" s="14">
        <v>80</v>
      </c>
      <c r="B100" s="252"/>
      <c r="C100" s="252"/>
      <c r="D100" s="251"/>
      <c r="E100" s="251"/>
      <c r="F100" s="252"/>
      <c r="G100" s="252"/>
      <c r="H100" s="251"/>
      <c r="I100" s="251"/>
      <c r="J100" s="323">
        <f t="shared" si="2"/>
        <v>0</v>
      </c>
      <c r="K100" s="324"/>
      <c r="L100" s="343"/>
      <c r="M100" s="15">
        <v>80</v>
      </c>
      <c r="N100" s="260"/>
      <c r="O100" s="260"/>
      <c r="P100" s="259"/>
      <c r="Q100" s="259"/>
      <c r="R100" s="260"/>
      <c r="S100" s="260"/>
      <c r="T100" s="24"/>
      <c r="U100" s="340">
        <f t="shared" si="3"/>
        <v>0</v>
      </c>
      <c r="V100" s="341"/>
      <c r="W100"/>
      <c r="X100"/>
    </row>
    <row r="101" spans="1:24" ht="22.5" customHeight="1" x14ac:dyDescent="0.25">
      <c r="A101" s="22">
        <v>81</v>
      </c>
      <c r="B101" s="239"/>
      <c r="C101" s="239"/>
      <c r="D101" s="238"/>
      <c r="E101" s="238"/>
      <c r="F101" s="239"/>
      <c r="G101" s="239"/>
      <c r="H101" s="238"/>
      <c r="I101" s="238"/>
      <c r="J101" s="309">
        <f t="shared" si="2"/>
        <v>0</v>
      </c>
      <c r="K101" s="309"/>
      <c r="L101" s="343"/>
      <c r="M101" s="22">
        <v>81</v>
      </c>
      <c r="N101" s="239"/>
      <c r="O101" s="239"/>
      <c r="P101" s="238"/>
      <c r="Q101" s="238"/>
      <c r="R101" s="239"/>
      <c r="S101" s="239"/>
      <c r="T101" s="23"/>
      <c r="U101" s="256">
        <f t="shared" si="3"/>
        <v>0</v>
      </c>
      <c r="V101" s="257"/>
      <c r="W101"/>
      <c r="X101"/>
    </row>
    <row r="102" spans="1:24" ht="22.5" customHeight="1" x14ac:dyDescent="0.25">
      <c r="A102" s="14">
        <v>82</v>
      </c>
      <c r="B102" s="252"/>
      <c r="C102" s="252"/>
      <c r="D102" s="251"/>
      <c r="E102" s="251"/>
      <c r="F102" s="252"/>
      <c r="G102" s="252"/>
      <c r="H102" s="251"/>
      <c r="I102" s="251"/>
      <c r="J102" s="323">
        <f t="shared" si="2"/>
        <v>0</v>
      </c>
      <c r="K102" s="324"/>
      <c r="L102" s="343"/>
      <c r="M102" s="15">
        <v>82</v>
      </c>
      <c r="N102" s="260"/>
      <c r="O102" s="260"/>
      <c r="P102" s="259"/>
      <c r="Q102" s="259"/>
      <c r="R102" s="260"/>
      <c r="S102" s="260"/>
      <c r="T102" s="24"/>
      <c r="U102" s="340">
        <f t="shared" si="3"/>
        <v>0</v>
      </c>
      <c r="V102" s="341"/>
      <c r="W102"/>
      <c r="X102"/>
    </row>
    <row r="103" spans="1:24" ht="22.5" customHeight="1" x14ac:dyDescent="0.25">
      <c r="A103" s="22">
        <v>83</v>
      </c>
      <c r="B103" s="239"/>
      <c r="C103" s="239"/>
      <c r="D103" s="238"/>
      <c r="E103" s="238"/>
      <c r="F103" s="239"/>
      <c r="G103" s="239"/>
      <c r="H103" s="238"/>
      <c r="I103" s="238"/>
      <c r="J103" s="309">
        <f t="shared" si="2"/>
        <v>0</v>
      </c>
      <c r="K103" s="309"/>
      <c r="L103" s="343"/>
      <c r="M103" s="22">
        <v>83</v>
      </c>
      <c r="N103" s="239"/>
      <c r="O103" s="239"/>
      <c r="P103" s="238"/>
      <c r="Q103" s="238"/>
      <c r="R103" s="239"/>
      <c r="S103" s="239"/>
      <c r="T103" s="23"/>
      <c r="U103" s="256">
        <f t="shared" si="3"/>
        <v>0</v>
      </c>
      <c r="V103" s="257"/>
      <c r="W103"/>
      <c r="X103"/>
    </row>
    <row r="104" spans="1:24" ht="22.5" customHeight="1" x14ac:dyDescent="0.25">
      <c r="A104" s="14">
        <v>84</v>
      </c>
      <c r="B104" s="252"/>
      <c r="C104" s="252"/>
      <c r="D104" s="251"/>
      <c r="E104" s="251"/>
      <c r="F104" s="252"/>
      <c r="G104" s="252"/>
      <c r="H104" s="251"/>
      <c r="I104" s="251"/>
      <c r="J104" s="323">
        <f t="shared" si="2"/>
        <v>0</v>
      </c>
      <c r="K104" s="324"/>
      <c r="L104" s="343"/>
      <c r="M104" s="15">
        <v>84</v>
      </c>
      <c r="N104" s="260"/>
      <c r="O104" s="260"/>
      <c r="P104" s="259"/>
      <c r="Q104" s="259"/>
      <c r="R104" s="260"/>
      <c r="S104" s="260"/>
      <c r="T104" s="24"/>
      <c r="U104" s="340">
        <f t="shared" si="3"/>
        <v>0</v>
      </c>
      <c r="V104" s="341"/>
      <c r="W104"/>
      <c r="X104"/>
    </row>
    <row r="105" spans="1:24" ht="22.5" customHeight="1" x14ac:dyDescent="0.25">
      <c r="A105" s="22">
        <v>85</v>
      </c>
      <c r="B105" s="239"/>
      <c r="C105" s="239"/>
      <c r="D105" s="238"/>
      <c r="E105" s="238"/>
      <c r="F105" s="239"/>
      <c r="G105" s="239"/>
      <c r="H105" s="238"/>
      <c r="I105" s="238"/>
      <c r="J105" s="309">
        <f t="shared" si="2"/>
        <v>0</v>
      </c>
      <c r="K105" s="309"/>
      <c r="L105" s="343"/>
      <c r="M105" s="22">
        <v>85</v>
      </c>
      <c r="N105" s="239"/>
      <c r="O105" s="239"/>
      <c r="P105" s="238"/>
      <c r="Q105" s="238"/>
      <c r="R105" s="239"/>
      <c r="S105" s="239"/>
      <c r="T105" s="23"/>
      <c r="U105" s="256">
        <f t="shared" si="3"/>
        <v>0</v>
      </c>
      <c r="V105" s="257"/>
      <c r="W105"/>
      <c r="X105"/>
    </row>
    <row r="106" spans="1:24" ht="22.5" customHeight="1" x14ac:dyDescent="0.25">
      <c r="A106" s="14">
        <v>86</v>
      </c>
      <c r="B106" s="252"/>
      <c r="C106" s="252"/>
      <c r="D106" s="251"/>
      <c r="E106" s="251"/>
      <c r="F106" s="252"/>
      <c r="G106" s="252"/>
      <c r="H106" s="251"/>
      <c r="I106" s="251"/>
      <c r="J106" s="323">
        <f t="shared" si="2"/>
        <v>0</v>
      </c>
      <c r="K106" s="324"/>
      <c r="L106" s="343"/>
      <c r="M106" s="15">
        <v>86</v>
      </c>
      <c r="N106" s="260"/>
      <c r="O106" s="260"/>
      <c r="P106" s="259"/>
      <c r="Q106" s="259"/>
      <c r="R106" s="260"/>
      <c r="S106" s="260"/>
      <c r="T106" s="24"/>
      <c r="U106" s="340">
        <f t="shared" si="3"/>
        <v>0</v>
      </c>
      <c r="V106" s="341"/>
      <c r="W106"/>
      <c r="X106"/>
    </row>
    <row r="107" spans="1:24" ht="22.5" customHeight="1" x14ac:dyDescent="0.25">
      <c r="A107" s="22">
        <v>87</v>
      </c>
      <c r="B107" s="239"/>
      <c r="C107" s="239"/>
      <c r="D107" s="238"/>
      <c r="E107" s="238"/>
      <c r="F107" s="239"/>
      <c r="G107" s="239"/>
      <c r="H107" s="238"/>
      <c r="I107" s="238"/>
      <c r="J107" s="309">
        <f t="shared" si="2"/>
        <v>0</v>
      </c>
      <c r="K107" s="309"/>
      <c r="L107" s="343"/>
      <c r="M107" s="22">
        <v>87</v>
      </c>
      <c r="N107" s="239"/>
      <c r="O107" s="239"/>
      <c r="P107" s="238"/>
      <c r="Q107" s="238"/>
      <c r="R107" s="239"/>
      <c r="S107" s="239"/>
      <c r="T107" s="23"/>
      <c r="U107" s="256">
        <f t="shared" si="3"/>
        <v>0</v>
      </c>
      <c r="V107" s="257"/>
      <c r="W107"/>
      <c r="X107"/>
    </row>
    <row r="108" spans="1:24" ht="22.5" customHeight="1" x14ac:dyDescent="0.25">
      <c r="A108" s="14">
        <v>88</v>
      </c>
      <c r="B108" s="252"/>
      <c r="C108" s="252"/>
      <c r="D108" s="251"/>
      <c r="E108" s="251"/>
      <c r="F108" s="252"/>
      <c r="G108" s="252"/>
      <c r="H108" s="251"/>
      <c r="I108" s="251"/>
      <c r="J108" s="323">
        <f t="shared" si="2"/>
        <v>0</v>
      </c>
      <c r="K108" s="324"/>
      <c r="L108" s="343"/>
      <c r="M108" s="15">
        <v>88</v>
      </c>
      <c r="N108" s="260"/>
      <c r="O108" s="260"/>
      <c r="P108" s="259"/>
      <c r="Q108" s="259"/>
      <c r="R108" s="260"/>
      <c r="S108" s="260"/>
      <c r="T108" s="24"/>
      <c r="U108" s="340">
        <f t="shared" si="3"/>
        <v>0</v>
      </c>
      <c r="V108" s="341"/>
      <c r="W108"/>
      <c r="X108"/>
    </row>
    <row r="109" spans="1:24" ht="22.5" customHeight="1" x14ac:dyDescent="0.25">
      <c r="A109" s="22">
        <v>89</v>
      </c>
      <c r="B109" s="239"/>
      <c r="C109" s="239"/>
      <c r="D109" s="238"/>
      <c r="E109" s="238"/>
      <c r="F109" s="239"/>
      <c r="G109" s="239"/>
      <c r="H109" s="238"/>
      <c r="I109" s="238"/>
      <c r="J109" s="309">
        <f t="shared" si="2"/>
        <v>0</v>
      </c>
      <c r="K109" s="309"/>
      <c r="L109" s="343"/>
      <c r="M109" s="22">
        <v>89</v>
      </c>
      <c r="N109" s="239"/>
      <c r="O109" s="239"/>
      <c r="P109" s="238"/>
      <c r="Q109" s="238"/>
      <c r="R109" s="239"/>
      <c r="S109" s="239"/>
      <c r="T109" s="23"/>
      <c r="U109" s="256">
        <f t="shared" si="3"/>
        <v>0</v>
      </c>
      <c r="V109" s="257"/>
      <c r="W109"/>
      <c r="X109"/>
    </row>
    <row r="110" spans="1:24" ht="22.5" customHeight="1" x14ac:dyDescent="0.25">
      <c r="A110" s="14">
        <v>90</v>
      </c>
      <c r="B110" s="252"/>
      <c r="C110" s="252"/>
      <c r="D110" s="251"/>
      <c r="E110" s="251"/>
      <c r="F110" s="252"/>
      <c r="G110" s="252"/>
      <c r="H110" s="251"/>
      <c r="I110" s="251"/>
      <c r="J110" s="323">
        <f t="shared" si="2"/>
        <v>0</v>
      </c>
      <c r="K110" s="324"/>
      <c r="L110" s="343"/>
      <c r="M110" s="15">
        <v>90</v>
      </c>
      <c r="N110" s="260"/>
      <c r="O110" s="260"/>
      <c r="P110" s="259"/>
      <c r="Q110" s="259"/>
      <c r="R110" s="260"/>
      <c r="S110" s="260"/>
      <c r="T110" s="24"/>
      <c r="U110" s="340">
        <f t="shared" si="3"/>
        <v>0</v>
      </c>
      <c r="V110" s="341"/>
      <c r="W110"/>
      <c r="X110"/>
    </row>
    <row r="111" spans="1:24" ht="22.5" customHeight="1" x14ac:dyDescent="0.25">
      <c r="A111" s="22">
        <v>91</v>
      </c>
      <c r="B111" s="239"/>
      <c r="C111" s="239"/>
      <c r="D111" s="238"/>
      <c r="E111" s="238"/>
      <c r="F111" s="239"/>
      <c r="G111" s="239"/>
      <c r="H111" s="238"/>
      <c r="I111" s="238"/>
      <c r="J111" s="309">
        <f t="shared" si="2"/>
        <v>0</v>
      </c>
      <c r="K111" s="309"/>
      <c r="L111" s="343"/>
      <c r="M111" s="22">
        <v>91</v>
      </c>
      <c r="N111" s="239"/>
      <c r="O111" s="239"/>
      <c r="P111" s="238"/>
      <c r="Q111" s="238"/>
      <c r="R111" s="239"/>
      <c r="S111" s="239"/>
      <c r="T111" s="23"/>
      <c r="U111" s="256">
        <f t="shared" si="3"/>
        <v>0</v>
      </c>
      <c r="V111" s="257"/>
      <c r="W111"/>
      <c r="X111"/>
    </row>
    <row r="112" spans="1:24" ht="22.5" customHeight="1" x14ac:dyDescent="0.25">
      <c r="A112" s="14">
        <v>92</v>
      </c>
      <c r="B112" s="252"/>
      <c r="C112" s="252"/>
      <c r="D112" s="251"/>
      <c r="E112" s="251"/>
      <c r="F112" s="252"/>
      <c r="G112" s="252"/>
      <c r="H112" s="251"/>
      <c r="I112" s="251"/>
      <c r="J112" s="323">
        <f t="shared" si="2"/>
        <v>0</v>
      </c>
      <c r="K112" s="324"/>
      <c r="L112" s="343"/>
      <c r="M112" s="15">
        <v>92</v>
      </c>
      <c r="N112" s="260"/>
      <c r="O112" s="260"/>
      <c r="P112" s="259"/>
      <c r="Q112" s="259"/>
      <c r="R112" s="260"/>
      <c r="S112" s="260"/>
      <c r="T112" s="24"/>
      <c r="U112" s="340">
        <f t="shared" si="3"/>
        <v>0</v>
      </c>
      <c r="V112" s="341"/>
      <c r="W112"/>
      <c r="X112"/>
    </row>
    <row r="113" spans="1:24" ht="22.5" customHeight="1" x14ac:dyDescent="0.25">
      <c r="A113" s="22">
        <v>93</v>
      </c>
      <c r="B113" s="239"/>
      <c r="C113" s="239"/>
      <c r="D113" s="238"/>
      <c r="E113" s="238"/>
      <c r="F113" s="239"/>
      <c r="G113" s="239"/>
      <c r="H113" s="238"/>
      <c r="I113" s="238"/>
      <c r="J113" s="309">
        <f t="shared" si="2"/>
        <v>0</v>
      </c>
      <c r="K113" s="309"/>
      <c r="L113" s="343"/>
      <c r="M113" s="22">
        <v>93</v>
      </c>
      <c r="N113" s="239"/>
      <c r="O113" s="239"/>
      <c r="P113" s="238"/>
      <c r="Q113" s="238"/>
      <c r="R113" s="239"/>
      <c r="S113" s="239"/>
      <c r="T113" s="23"/>
      <c r="U113" s="256">
        <f t="shared" si="3"/>
        <v>0</v>
      </c>
      <c r="V113" s="257"/>
      <c r="W113"/>
      <c r="X113"/>
    </row>
    <row r="114" spans="1:24" ht="22.5" customHeight="1" x14ac:dyDescent="0.25">
      <c r="A114" s="14">
        <v>94</v>
      </c>
      <c r="B114" s="252"/>
      <c r="C114" s="252"/>
      <c r="D114" s="251"/>
      <c r="E114" s="251"/>
      <c r="F114" s="252"/>
      <c r="G114" s="252"/>
      <c r="H114" s="251"/>
      <c r="I114" s="251"/>
      <c r="J114" s="323">
        <f t="shared" si="2"/>
        <v>0</v>
      </c>
      <c r="K114" s="324"/>
      <c r="L114" s="343"/>
      <c r="M114" s="15">
        <v>94</v>
      </c>
      <c r="N114" s="260"/>
      <c r="O114" s="260"/>
      <c r="P114" s="259"/>
      <c r="Q114" s="259"/>
      <c r="R114" s="260"/>
      <c r="S114" s="260"/>
      <c r="T114" s="24"/>
      <c r="U114" s="340">
        <f t="shared" si="3"/>
        <v>0</v>
      </c>
      <c r="V114" s="341"/>
      <c r="W114"/>
      <c r="X114"/>
    </row>
    <row r="115" spans="1:24" ht="22.5" customHeight="1" x14ac:dyDescent="0.25">
      <c r="A115" s="22">
        <v>95</v>
      </c>
      <c r="B115" s="239"/>
      <c r="C115" s="239"/>
      <c r="D115" s="238"/>
      <c r="E115" s="238"/>
      <c r="F115" s="239"/>
      <c r="G115" s="239"/>
      <c r="H115" s="238"/>
      <c r="I115" s="238"/>
      <c r="J115" s="309">
        <f t="shared" si="2"/>
        <v>0</v>
      </c>
      <c r="K115" s="309"/>
      <c r="L115" s="343"/>
      <c r="M115" s="22">
        <v>95</v>
      </c>
      <c r="N115" s="239"/>
      <c r="O115" s="239"/>
      <c r="P115" s="238"/>
      <c r="Q115" s="238"/>
      <c r="R115" s="239"/>
      <c r="S115" s="239"/>
      <c r="T115" s="23"/>
      <c r="U115" s="256">
        <f t="shared" si="3"/>
        <v>0</v>
      </c>
      <c r="V115" s="257"/>
      <c r="W115"/>
      <c r="X115"/>
    </row>
    <row r="116" spans="1:24" ht="22.5" customHeight="1" x14ac:dyDescent="0.25">
      <c r="A116" s="14">
        <v>96</v>
      </c>
      <c r="B116" s="252"/>
      <c r="C116" s="252"/>
      <c r="D116" s="251"/>
      <c r="E116" s="251"/>
      <c r="F116" s="252"/>
      <c r="G116" s="252"/>
      <c r="H116" s="251"/>
      <c r="I116" s="251"/>
      <c r="J116" s="323">
        <f t="shared" si="2"/>
        <v>0</v>
      </c>
      <c r="K116" s="324"/>
      <c r="L116" s="343"/>
      <c r="M116" s="15">
        <v>96</v>
      </c>
      <c r="N116" s="260"/>
      <c r="O116" s="260"/>
      <c r="P116" s="259"/>
      <c r="Q116" s="259"/>
      <c r="R116" s="260"/>
      <c r="S116" s="260"/>
      <c r="T116" s="24"/>
      <c r="U116" s="340">
        <f t="shared" si="3"/>
        <v>0</v>
      </c>
      <c r="V116" s="341"/>
      <c r="W116"/>
      <c r="X116"/>
    </row>
    <row r="117" spans="1:24" ht="22.5" customHeight="1" x14ac:dyDescent="0.25">
      <c r="A117" s="22">
        <v>97</v>
      </c>
      <c r="B117" s="239"/>
      <c r="C117" s="239"/>
      <c r="D117" s="238"/>
      <c r="E117" s="238"/>
      <c r="F117" s="239"/>
      <c r="G117" s="239"/>
      <c r="H117" s="238"/>
      <c r="I117" s="238"/>
      <c r="J117" s="309">
        <f t="shared" si="2"/>
        <v>0</v>
      </c>
      <c r="K117" s="309"/>
      <c r="L117" s="343"/>
      <c r="M117" s="22">
        <v>97</v>
      </c>
      <c r="N117" s="239"/>
      <c r="O117" s="239"/>
      <c r="P117" s="238"/>
      <c r="Q117" s="238"/>
      <c r="R117" s="239"/>
      <c r="S117" s="239"/>
      <c r="T117" s="23"/>
      <c r="U117" s="256">
        <f t="shared" si="3"/>
        <v>0</v>
      </c>
      <c r="V117" s="257"/>
      <c r="W117"/>
      <c r="X117"/>
    </row>
    <row r="118" spans="1:24" ht="22.5" customHeight="1" x14ac:dyDescent="0.25">
      <c r="A118" s="14">
        <v>98</v>
      </c>
      <c r="B118" s="252"/>
      <c r="C118" s="252"/>
      <c r="D118" s="251"/>
      <c r="E118" s="251"/>
      <c r="F118" s="252"/>
      <c r="G118" s="252"/>
      <c r="H118" s="251"/>
      <c r="I118" s="251"/>
      <c r="J118" s="323">
        <f t="shared" si="2"/>
        <v>0</v>
      </c>
      <c r="K118" s="324"/>
      <c r="L118" s="343"/>
      <c r="M118" s="15">
        <v>98</v>
      </c>
      <c r="N118" s="260"/>
      <c r="O118" s="260"/>
      <c r="P118" s="259"/>
      <c r="Q118" s="259"/>
      <c r="R118" s="260"/>
      <c r="S118" s="260"/>
      <c r="T118" s="24"/>
      <c r="U118" s="340">
        <f t="shared" si="3"/>
        <v>0</v>
      </c>
      <c r="V118" s="341"/>
      <c r="W118"/>
      <c r="X118"/>
    </row>
    <row r="119" spans="1:24" ht="22.5" customHeight="1" x14ac:dyDescent="0.25">
      <c r="A119" s="22">
        <v>99</v>
      </c>
      <c r="B119" s="239"/>
      <c r="C119" s="239"/>
      <c r="D119" s="238"/>
      <c r="E119" s="238"/>
      <c r="F119" s="239"/>
      <c r="G119" s="239"/>
      <c r="H119" s="238"/>
      <c r="I119" s="238"/>
      <c r="J119" s="309">
        <f t="shared" si="2"/>
        <v>0</v>
      </c>
      <c r="K119" s="309"/>
      <c r="L119" s="343"/>
      <c r="M119" s="22">
        <v>99</v>
      </c>
      <c r="N119" s="239"/>
      <c r="O119" s="239"/>
      <c r="P119" s="238"/>
      <c r="Q119" s="238"/>
      <c r="R119" s="239"/>
      <c r="S119" s="239"/>
      <c r="T119" s="23"/>
      <c r="U119" s="256">
        <f t="shared" si="3"/>
        <v>0</v>
      </c>
      <c r="V119" s="257"/>
      <c r="W119"/>
      <c r="X119"/>
    </row>
    <row r="120" spans="1:24" ht="22.5" customHeight="1" x14ac:dyDescent="0.25">
      <c r="A120" s="14">
        <v>100</v>
      </c>
      <c r="B120" s="252"/>
      <c r="C120" s="252"/>
      <c r="D120" s="251"/>
      <c r="E120" s="251"/>
      <c r="F120" s="252"/>
      <c r="G120" s="252"/>
      <c r="H120" s="251"/>
      <c r="I120" s="251"/>
      <c r="J120" s="323">
        <f t="shared" si="2"/>
        <v>0</v>
      </c>
      <c r="K120" s="324"/>
      <c r="L120" s="343"/>
      <c r="M120" s="15">
        <v>100</v>
      </c>
      <c r="N120" s="260"/>
      <c r="O120" s="260"/>
      <c r="P120" s="259"/>
      <c r="Q120" s="259"/>
      <c r="R120" s="260"/>
      <c r="S120" s="260"/>
      <c r="T120" s="24"/>
      <c r="U120" s="340">
        <f t="shared" si="3"/>
        <v>0</v>
      </c>
      <c r="V120" s="341"/>
      <c r="W120"/>
      <c r="X120"/>
    </row>
    <row r="121" spans="1:24" ht="22.5" customHeight="1" x14ac:dyDescent="0.25">
      <c r="A121" s="22">
        <v>101</v>
      </c>
      <c r="B121" s="239"/>
      <c r="C121" s="239"/>
      <c r="D121" s="238"/>
      <c r="E121" s="238"/>
      <c r="F121" s="239"/>
      <c r="G121" s="239"/>
      <c r="H121" s="238"/>
      <c r="I121" s="238"/>
      <c r="J121" s="309">
        <f t="shared" si="2"/>
        <v>0</v>
      </c>
      <c r="K121" s="309"/>
      <c r="L121" s="343"/>
      <c r="M121" s="22">
        <v>101</v>
      </c>
      <c r="N121" s="239"/>
      <c r="O121" s="239"/>
      <c r="P121" s="238"/>
      <c r="Q121" s="238"/>
      <c r="R121" s="239"/>
      <c r="S121" s="239"/>
      <c r="T121" s="23"/>
      <c r="U121" s="256">
        <f t="shared" si="3"/>
        <v>0</v>
      </c>
      <c r="V121" s="257"/>
      <c r="W121"/>
      <c r="X121"/>
    </row>
    <row r="122" spans="1:24" ht="22.5" customHeight="1" x14ac:dyDescent="0.25">
      <c r="A122" s="14">
        <v>102</v>
      </c>
      <c r="B122" s="252"/>
      <c r="C122" s="252"/>
      <c r="D122" s="251"/>
      <c r="E122" s="251"/>
      <c r="F122" s="252"/>
      <c r="G122" s="252"/>
      <c r="H122" s="251"/>
      <c r="I122" s="251"/>
      <c r="J122" s="323">
        <f t="shared" si="2"/>
        <v>0</v>
      </c>
      <c r="K122" s="324"/>
      <c r="L122" s="343"/>
      <c r="M122" s="15">
        <v>102</v>
      </c>
      <c r="N122" s="260"/>
      <c r="O122" s="260"/>
      <c r="P122" s="259"/>
      <c r="Q122" s="259"/>
      <c r="R122" s="260"/>
      <c r="S122" s="260"/>
      <c r="T122" s="24"/>
      <c r="U122" s="340">
        <f t="shared" si="3"/>
        <v>0</v>
      </c>
      <c r="V122" s="341"/>
      <c r="W122"/>
      <c r="X122"/>
    </row>
    <row r="123" spans="1:24" ht="22.5" customHeight="1" x14ac:dyDescent="0.25">
      <c r="A123" s="22">
        <v>103</v>
      </c>
      <c r="B123" s="239"/>
      <c r="C123" s="239"/>
      <c r="D123" s="238"/>
      <c r="E123" s="238"/>
      <c r="F123" s="239"/>
      <c r="G123" s="239"/>
      <c r="H123" s="238"/>
      <c r="I123" s="238"/>
      <c r="J123" s="309">
        <f t="shared" si="2"/>
        <v>0</v>
      </c>
      <c r="K123" s="309"/>
      <c r="L123" s="343"/>
      <c r="M123" s="22">
        <v>103</v>
      </c>
      <c r="N123" s="239"/>
      <c r="O123" s="239"/>
      <c r="P123" s="238"/>
      <c r="Q123" s="238"/>
      <c r="R123" s="239"/>
      <c r="S123" s="239"/>
      <c r="T123" s="23"/>
      <c r="U123" s="256">
        <f t="shared" si="3"/>
        <v>0</v>
      </c>
      <c r="V123" s="257"/>
      <c r="W123"/>
      <c r="X123"/>
    </row>
    <row r="124" spans="1:24" ht="22.5" customHeight="1" x14ac:dyDescent="0.25">
      <c r="A124" s="14">
        <v>104</v>
      </c>
      <c r="B124" s="252"/>
      <c r="C124" s="252"/>
      <c r="D124" s="251"/>
      <c r="E124" s="251"/>
      <c r="F124" s="252"/>
      <c r="G124" s="252"/>
      <c r="H124" s="251"/>
      <c r="I124" s="251"/>
      <c r="J124" s="323">
        <f t="shared" si="2"/>
        <v>0</v>
      </c>
      <c r="K124" s="324"/>
      <c r="L124" s="343"/>
      <c r="M124" s="15">
        <v>104</v>
      </c>
      <c r="N124" s="260"/>
      <c r="O124" s="260"/>
      <c r="P124" s="259"/>
      <c r="Q124" s="259"/>
      <c r="R124" s="260"/>
      <c r="S124" s="260"/>
      <c r="T124" s="24"/>
      <c r="U124" s="340">
        <f t="shared" si="3"/>
        <v>0</v>
      </c>
      <c r="V124" s="341"/>
      <c r="W124"/>
      <c r="X124"/>
    </row>
    <row r="125" spans="1:24" ht="22.5" customHeight="1" x14ac:dyDescent="0.25">
      <c r="A125" s="22">
        <v>105</v>
      </c>
      <c r="B125" s="239"/>
      <c r="C125" s="239"/>
      <c r="D125" s="238"/>
      <c r="E125" s="238"/>
      <c r="F125" s="239"/>
      <c r="G125" s="239"/>
      <c r="H125" s="238"/>
      <c r="I125" s="238"/>
      <c r="J125" s="309">
        <f t="shared" si="2"/>
        <v>0</v>
      </c>
      <c r="K125" s="309"/>
      <c r="L125" s="343"/>
      <c r="M125" s="22">
        <v>105</v>
      </c>
      <c r="N125" s="239"/>
      <c r="O125" s="239"/>
      <c r="P125" s="238"/>
      <c r="Q125" s="238"/>
      <c r="R125" s="239"/>
      <c r="S125" s="239"/>
      <c r="T125" s="23"/>
      <c r="U125" s="256">
        <f t="shared" si="3"/>
        <v>0</v>
      </c>
      <c r="V125" s="257"/>
      <c r="W125"/>
      <c r="X125"/>
    </row>
    <row r="126" spans="1:24" ht="22.5" customHeight="1" x14ac:dyDescent="0.25">
      <c r="A126" s="14">
        <v>106</v>
      </c>
      <c r="B126" s="252"/>
      <c r="C126" s="252"/>
      <c r="D126" s="251"/>
      <c r="E126" s="251"/>
      <c r="F126" s="252"/>
      <c r="G126" s="252"/>
      <c r="H126" s="251"/>
      <c r="I126" s="251"/>
      <c r="J126" s="323">
        <f t="shared" si="2"/>
        <v>0</v>
      </c>
      <c r="K126" s="324"/>
      <c r="L126" s="343"/>
      <c r="M126" s="15">
        <v>106</v>
      </c>
      <c r="N126" s="260"/>
      <c r="O126" s="260"/>
      <c r="P126" s="259"/>
      <c r="Q126" s="259"/>
      <c r="R126" s="260"/>
      <c r="S126" s="260"/>
      <c r="T126" s="24"/>
      <c r="U126" s="340">
        <f t="shared" si="3"/>
        <v>0</v>
      </c>
      <c r="V126" s="341"/>
      <c r="W126"/>
      <c r="X126"/>
    </row>
    <row r="127" spans="1:24" ht="22.5" customHeight="1" x14ac:dyDescent="0.25">
      <c r="A127" s="22">
        <v>107</v>
      </c>
      <c r="B127" s="239"/>
      <c r="C127" s="239"/>
      <c r="D127" s="238"/>
      <c r="E127" s="238"/>
      <c r="F127" s="239"/>
      <c r="G127" s="239"/>
      <c r="H127" s="238"/>
      <c r="I127" s="238"/>
      <c r="J127" s="309">
        <f t="shared" si="2"/>
        <v>0</v>
      </c>
      <c r="K127" s="309"/>
      <c r="L127" s="343"/>
      <c r="M127" s="22">
        <v>107</v>
      </c>
      <c r="N127" s="239"/>
      <c r="O127" s="239"/>
      <c r="P127" s="238"/>
      <c r="Q127" s="238"/>
      <c r="R127" s="239"/>
      <c r="S127" s="239"/>
      <c r="T127" s="23"/>
      <c r="U127" s="256">
        <f t="shared" si="3"/>
        <v>0</v>
      </c>
      <c r="V127" s="257"/>
      <c r="W127"/>
      <c r="X127"/>
    </row>
    <row r="128" spans="1:24" ht="22.5" customHeight="1" x14ac:dyDescent="0.25">
      <c r="A128" s="14">
        <v>108</v>
      </c>
      <c r="B128" s="252"/>
      <c r="C128" s="252"/>
      <c r="D128" s="251"/>
      <c r="E128" s="251"/>
      <c r="F128" s="252"/>
      <c r="G128" s="252"/>
      <c r="H128" s="251"/>
      <c r="I128" s="251"/>
      <c r="J128" s="323">
        <f t="shared" si="2"/>
        <v>0</v>
      </c>
      <c r="K128" s="324"/>
      <c r="L128" s="343"/>
      <c r="M128" s="15">
        <v>108</v>
      </c>
      <c r="N128" s="260"/>
      <c r="O128" s="260"/>
      <c r="P128" s="259"/>
      <c r="Q128" s="259"/>
      <c r="R128" s="260"/>
      <c r="S128" s="260"/>
      <c r="T128" s="24"/>
      <c r="U128" s="340">
        <f t="shared" si="3"/>
        <v>0</v>
      </c>
      <c r="V128" s="341"/>
      <c r="W128"/>
      <c r="X128"/>
    </row>
    <row r="129" spans="1:24" ht="22.5" customHeight="1" x14ac:dyDescent="0.25">
      <c r="A129" s="22">
        <v>109</v>
      </c>
      <c r="B129" s="239"/>
      <c r="C129" s="239"/>
      <c r="D129" s="238"/>
      <c r="E129" s="238"/>
      <c r="F129" s="239"/>
      <c r="G129" s="239"/>
      <c r="H129" s="238"/>
      <c r="I129" s="238"/>
      <c r="J129" s="309">
        <f t="shared" si="2"/>
        <v>0</v>
      </c>
      <c r="K129" s="309"/>
      <c r="L129" s="343"/>
      <c r="M129" s="22">
        <v>109</v>
      </c>
      <c r="N129" s="239"/>
      <c r="O129" s="239"/>
      <c r="P129" s="238"/>
      <c r="Q129" s="238"/>
      <c r="R129" s="239"/>
      <c r="S129" s="239"/>
      <c r="T129" s="23"/>
      <c r="U129" s="256">
        <f t="shared" si="3"/>
        <v>0</v>
      </c>
      <c r="V129" s="257"/>
      <c r="W129"/>
      <c r="X129"/>
    </row>
    <row r="130" spans="1:24" ht="22.5" customHeight="1" x14ac:dyDescent="0.25">
      <c r="A130" s="14">
        <v>110</v>
      </c>
      <c r="B130" s="252"/>
      <c r="C130" s="252"/>
      <c r="D130" s="251"/>
      <c r="E130" s="251"/>
      <c r="F130" s="252"/>
      <c r="G130" s="252"/>
      <c r="H130" s="251"/>
      <c r="I130" s="251"/>
      <c r="J130" s="323">
        <f t="shared" si="2"/>
        <v>0</v>
      </c>
      <c r="K130" s="324"/>
      <c r="L130" s="343"/>
      <c r="M130" s="15">
        <v>110</v>
      </c>
      <c r="N130" s="260"/>
      <c r="O130" s="260"/>
      <c r="P130" s="259"/>
      <c r="Q130" s="259"/>
      <c r="R130" s="260"/>
      <c r="S130" s="260"/>
      <c r="T130" s="24"/>
      <c r="U130" s="340">
        <f t="shared" si="3"/>
        <v>0</v>
      </c>
      <c r="V130" s="341"/>
      <c r="W130"/>
      <c r="X130"/>
    </row>
    <row r="131" spans="1:24" ht="22.5" customHeight="1" x14ac:dyDescent="0.25">
      <c r="A131" s="22">
        <v>111</v>
      </c>
      <c r="B131" s="239"/>
      <c r="C131" s="239"/>
      <c r="D131" s="238"/>
      <c r="E131" s="238"/>
      <c r="F131" s="239"/>
      <c r="G131" s="239"/>
      <c r="H131" s="238"/>
      <c r="I131" s="238"/>
      <c r="J131" s="309">
        <f t="shared" si="2"/>
        <v>0</v>
      </c>
      <c r="K131" s="309"/>
      <c r="L131" s="343"/>
      <c r="M131" s="22">
        <v>111</v>
      </c>
      <c r="N131" s="239"/>
      <c r="O131" s="239"/>
      <c r="P131" s="238"/>
      <c r="Q131" s="238"/>
      <c r="R131" s="239"/>
      <c r="S131" s="239"/>
      <c r="T131" s="23"/>
      <c r="U131" s="256">
        <f t="shared" si="3"/>
        <v>0</v>
      </c>
      <c r="V131" s="257"/>
      <c r="W131"/>
      <c r="X131"/>
    </row>
    <row r="132" spans="1:24" ht="22.5" customHeight="1" x14ac:dyDescent="0.25">
      <c r="A132" s="14">
        <v>112</v>
      </c>
      <c r="B132" s="252"/>
      <c r="C132" s="252"/>
      <c r="D132" s="251"/>
      <c r="E132" s="251"/>
      <c r="F132" s="252"/>
      <c r="G132" s="252"/>
      <c r="H132" s="251"/>
      <c r="I132" s="251"/>
      <c r="J132" s="323">
        <f t="shared" si="2"/>
        <v>0</v>
      </c>
      <c r="K132" s="324"/>
      <c r="L132" s="343"/>
      <c r="M132" s="15">
        <v>112</v>
      </c>
      <c r="N132" s="260"/>
      <c r="O132" s="260"/>
      <c r="P132" s="259"/>
      <c r="Q132" s="259"/>
      <c r="R132" s="260"/>
      <c r="S132" s="260"/>
      <c r="T132" s="24"/>
      <c r="U132" s="340">
        <f t="shared" si="3"/>
        <v>0</v>
      </c>
      <c r="V132" s="341"/>
      <c r="W132"/>
      <c r="X132"/>
    </row>
    <row r="133" spans="1:24" ht="22.5" customHeight="1" x14ac:dyDescent="0.25">
      <c r="A133" s="22">
        <v>113</v>
      </c>
      <c r="B133" s="239"/>
      <c r="C133" s="239"/>
      <c r="D133" s="238"/>
      <c r="E133" s="238"/>
      <c r="F133" s="239"/>
      <c r="G133" s="239"/>
      <c r="H133" s="238"/>
      <c r="I133" s="238"/>
      <c r="J133" s="309">
        <f t="shared" si="2"/>
        <v>0</v>
      </c>
      <c r="K133" s="309"/>
      <c r="L133" s="343"/>
      <c r="M133" s="22">
        <v>113</v>
      </c>
      <c r="N133" s="239"/>
      <c r="O133" s="239"/>
      <c r="P133" s="238"/>
      <c r="Q133" s="238"/>
      <c r="R133" s="239"/>
      <c r="S133" s="239"/>
      <c r="T133" s="23"/>
      <c r="U133" s="256">
        <f t="shared" si="3"/>
        <v>0</v>
      </c>
      <c r="V133" s="257"/>
      <c r="W133"/>
      <c r="X133"/>
    </row>
    <row r="134" spans="1:24" ht="22.5" customHeight="1" x14ac:dyDescent="0.25">
      <c r="A134" s="14">
        <v>114</v>
      </c>
      <c r="B134" s="252"/>
      <c r="C134" s="252"/>
      <c r="D134" s="251"/>
      <c r="E134" s="251"/>
      <c r="F134" s="252"/>
      <c r="G134" s="252"/>
      <c r="H134" s="251"/>
      <c r="I134" s="251"/>
      <c r="J134" s="323">
        <f t="shared" si="2"/>
        <v>0</v>
      </c>
      <c r="K134" s="324"/>
      <c r="L134" s="343"/>
      <c r="M134" s="15">
        <v>114</v>
      </c>
      <c r="N134" s="260"/>
      <c r="O134" s="260"/>
      <c r="P134" s="259"/>
      <c r="Q134" s="259"/>
      <c r="R134" s="260"/>
      <c r="S134" s="260"/>
      <c r="T134" s="24"/>
      <c r="U134" s="340">
        <f t="shared" si="3"/>
        <v>0</v>
      </c>
      <c r="V134" s="341"/>
      <c r="W134"/>
      <c r="X134"/>
    </row>
    <row r="135" spans="1:24" ht="22.5" customHeight="1" x14ac:dyDescent="0.25">
      <c r="A135" s="22">
        <v>115</v>
      </c>
      <c r="B135" s="239"/>
      <c r="C135" s="239"/>
      <c r="D135" s="238"/>
      <c r="E135" s="238"/>
      <c r="F135" s="239"/>
      <c r="G135" s="239"/>
      <c r="H135" s="238"/>
      <c r="I135" s="238"/>
      <c r="J135" s="309">
        <f t="shared" si="2"/>
        <v>0</v>
      </c>
      <c r="K135" s="309"/>
      <c r="L135" s="343"/>
      <c r="M135" s="22">
        <v>115</v>
      </c>
      <c r="N135" s="239"/>
      <c r="O135" s="239"/>
      <c r="P135" s="238"/>
      <c r="Q135" s="238"/>
      <c r="R135" s="239"/>
      <c r="S135" s="239"/>
      <c r="T135" s="23"/>
      <c r="U135" s="256">
        <f t="shared" si="3"/>
        <v>0</v>
      </c>
      <c r="V135" s="257"/>
      <c r="W135"/>
      <c r="X135"/>
    </row>
    <row r="136" spans="1:24" ht="22.5" customHeight="1" x14ac:dyDescent="0.25">
      <c r="A136" s="14">
        <v>116</v>
      </c>
      <c r="B136" s="252"/>
      <c r="C136" s="252"/>
      <c r="D136" s="251"/>
      <c r="E136" s="251"/>
      <c r="F136" s="252"/>
      <c r="G136" s="252"/>
      <c r="H136" s="251"/>
      <c r="I136" s="251"/>
      <c r="J136" s="323">
        <f t="shared" si="2"/>
        <v>0</v>
      </c>
      <c r="K136" s="324"/>
      <c r="L136" s="343"/>
      <c r="M136" s="15">
        <v>116</v>
      </c>
      <c r="N136" s="260"/>
      <c r="O136" s="260"/>
      <c r="P136" s="259"/>
      <c r="Q136" s="259"/>
      <c r="R136" s="260"/>
      <c r="S136" s="260"/>
      <c r="T136" s="24"/>
      <c r="U136" s="340">
        <f t="shared" si="3"/>
        <v>0</v>
      </c>
      <c r="V136" s="341"/>
      <c r="W136"/>
      <c r="X136"/>
    </row>
    <row r="137" spans="1:24" ht="22.5" customHeight="1" x14ac:dyDescent="0.25">
      <c r="A137" s="22">
        <v>117</v>
      </c>
      <c r="B137" s="239"/>
      <c r="C137" s="239"/>
      <c r="D137" s="238"/>
      <c r="E137" s="238"/>
      <c r="F137" s="239"/>
      <c r="G137" s="239"/>
      <c r="H137" s="238"/>
      <c r="I137" s="238"/>
      <c r="J137" s="309">
        <f t="shared" si="2"/>
        <v>0</v>
      </c>
      <c r="K137" s="309"/>
      <c r="L137" s="343"/>
      <c r="M137" s="22">
        <v>117</v>
      </c>
      <c r="N137" s="239"/>
      <c r="O137" s="239"/>
      <c r="P137" s="238"/>
      <c r="Q137" s="238"/>
      <c r="R137" s="239"/>
      <c r="S137" s="239"/>
      <c r="T137" s="23"/>
      <c r="U137" s="256">
        <f t="shared" si="3"/>
        <v>0</v>
      </c>
      <c r="V137" s="257"/>
      <c r="W137"/>
      <c r="X137"/>
    </row>
    <row r="138" spans="1:24" ht="22.5" customHeight="1" x14ac:dyDescent="0.25">
      <c r="A138" s="14">
        <v>118</v>
      </c>
      <c r="B138" s="252"/>
      <c r="C138" s="252"/>
      <c r="D138" s="251"/>
      <c r="E138" s="251"/>
      <c r="F138" s="252"/>
      <c r="G138" s="252"/>
      <c r="H138" s="251"/>
      <c r="I138" s="251"/>
      <c r="J138" s="323">
        <f t="shared" si="2"/>
        <v>0</v>
      </c>
      <c r="K138" s="324"/>
      <c r="L138" s="343"/>
      <c r="M138" s="15">
        <v>118</v>
      </c>
      <c r="N138" s="260"/>
      <c r="O138" s="260"/>
      <c r="P138" s="259"/>
      <c r="Q138" s="259"/>
      <c r="R138" s="260"/>
      <c r="S138" s="260"/>
      <c r="T138" s="24"/>
      <c r="U138" s="340">
        <f t="shared" si="3"/>
        <v>0</v>
      </c>
      <c r="V138" s="341"/>
      <c r="W138"/>
      <c r="X138"/>
    </row>
    <row r="139" spans="1:24" ht="22.5" customHeight="1" x14ac:dyDescent="0.25">
      <c r="A139" s="22">
        <v>119</v>
      </c>
      <c r="B139" s="239"/>
      <c r="C139" s="239"/>
      <c r="D139" s="238"/>
      <c r="E139" s="238"/>
      <c r="F139" s="239"/>
      <c r="G139" s="239"/>
      <c r="H139" s="238"/>
      <c r="I139" s="238"/>
      <c r="J139" s="309">
        <f t="shared" si="2"/>
        <v>0</v>
      </c>
      <c r="K139" s="309"/>
      <c r="L139" s="343"/>
      <c r="M139" s="22">
        <v>119</v>
      </c>
      <c r="N139" s="239"/>
      <c r="O139" s="239"/>
      <c r="P139" s="238"/>
      <c r="Q139" s="238"/>
      <c r="R139" s="239"/>
      <c r="S139" s="239"/>
      <c r="T139" s="23"/>
      <c r="U139" s="256">
        <f t="shared" si="3"/>
        <v>0</v>
      </c>
      <c r="V139" s="257"/>
      <c r="W139"/>
      <c r="X139"/>
    </row>
    <row r="140" spans="1:24" ht="22.5" customHeight="1" x14ac:dyDescent="0.25">
      <c r="A140" s="14">
        <v>120</v>
      </c>
      <c r="B140" s="252"/>
      <c r="C140" s="252"/>
      <c r="D140" s="251"/>
      <c r="E140" s="251"/>
      <c r="F140" s="252"/>
      <c r="G140" s="252"/>
      <c r="H140" s="251"/>
      <c r="I140" s="251"/>
      <c r="J140" s="323">
        <f t="shared" si="2"/>
        <v>0</v>
      </c>
      <c r="K140" s="324"/>
      <c r="L140" s="343"/>
      <c r="M140" s="15">
        <v>120</v>
      </c>
      <c r="N140" s="260"/>
      <c r="O140" s="260"/>
      <c r="P140" s="259"/>
      <c r="Q140" s="259"/>
      <c r="R140" s="260"/>
      <c r="S140" s="260"/>
      <c r="T140" s="24"/>
      <c r="U140" s="340">
        <f t="shared" si="3"/>
        <v>0</v>
      </c>
      <c r="V140" s="341"/>
      <c r="W140"/>
      <c r="X140"/>
    </row>
    <row r="141" spans="1:24" ht="22.5" customHeight="1" x14ac:dyDescent="0.25">
      <c r="A141" s="22">
        <v>121</v>
      </c>
      <c r="B141" s="239"/>
      <c r="C141" s="239"/>
      <c r="D141" s="238"/>
      <c r="E141" s="238"/>
      <c r="F141" s="239"/>
      <c r="G141" s="239"/>
      <c r="H141" s="238"/>
      <c r="I141" s="238"/>
      <c r="J141" s="309">
        <f t="shared" si="2"/>
        <v>0</v>
      </c>
      <c r="K141" s="309"/>
      <c r="L141" s="343"/>
      <c r="M141" s="22">
        <v>121</v>
      </c>
      <c r="N141" s="239"/>
      <c r="O141" s="239"/>
      <c r="P141" s="238"/>
      <c r="Q141" s="238"/>
      <c r="R141" s="239"/>
      <c r="S141" s="239"/>
      <c r="T141" s="23"/>
      <c r="U141" s="256">
        <f t="shared" si="3"/>
        <v>0</v>
      </c>
      <c r="V141" s="257"/>
      <c r="W141"/>
      <c r="X141"/>
    </row>
    <row r="142" spans="1:24" ht="22.5" customHeight="1" x14ac:dyDescent="0.25">
      <c r="A142" s="14">
        <v>122</v>
      </c>
      <c r="B142" s="252"/>
      <c r="C142" s="252"/>
      <c r="D142" s="251"/>
      <c r="E142" s="251"/>
      <c r="F142" s="252"/>
      <c r="G142" s="252"/>
      <c r="H142" s="251"/>
      <c r="I142" s="251"/>
      <c r="J142" s="323">
        <f t="shared" si="2"/>
        <v>0</v>
      </c>
      <c r="K142" s="324"/>
      <c r="L142" s="343"/>
      <c r="M142" s="15">
        <v>122</v>
      </c>
      <c r="N142" s="260"/>
      <c r="O142" s="260"/>
      <c r="P142" s="259"/>
      <c r="Q142" s="259"/>
      <c r="R142" s="260"/>
      <c r="S142" s="260"/>
      <c r="T142" s="24"/>
      <c r="U142" s="340">
        <f t="shared" si="3"/>
        <v>0</v>
      </c>
      <c r="V142" s="341"/>
      <c r="W142"/>
      <c r="X142"/>
    </row>
    <row r="143" spans="1:24" ht="22.5" customHeight="1" x14ac:dyDescent="0.25">
      <c r="A143" s="22">
        <v>123</v>
      </c>
      <c r="B143" s="239"/>
      <c r="C143" s="239"/>
      <c r="D143" s="238"/>
      <c r="E143" s="238"/>
      <c r="F143" s="239"/>
      <c r="G143" s="239"/>
      <c r="H143" s="238"/>
      <c r="I143" s="238"/>
      <c r="J143" s="309">
        <f t="shared" si="2"/>
        <v>0</v>
      </c>
      <c r="K143" s="309"/>
      <c r="L143" s="343"/>
      <c r="M143" s="22">
        <v>123</v>
      </c>
      <c r="N143" s="239"/>
      <c r="O143" s="239"/>
      <c r="P143" s="238"/>
      <c r="Q143" s="238"/>
      <c r="R143" s="239"/>
      <c r="S143" s="239"/>
      <c r="T143" s="23"/>
      <c r="U143" s="256">
        <f t="shared" si="3"/>
        <v>0</v>
      </c>
      <c r="V143" s="257"/>
      <c r="W143"/>
      <c r="X143"/>
    </row>
    <row r="144" spans="1:24" ht="22.5" customHeight="1" x14ac:dyDescent="0.25">
      <c r="A144" s="14">
        <v>124</v>
      </c>
      <c r="B144" s="252"/>
      <c r="C144" s="252"/>
      <c r="D144" s="251"/>
      <c r="E144" s="251"/>
      <c r="F144" s="252"/>
      <c r="G144" s="252"/>
      <c r="H144" s="251"/>
      <c r="I144" s="251"/>
      <c r="J144" s="323">
        <f t="shared" si="2"/>
        <v>0</v>
      </c>
      <c r="K144" s="324"/>
      <c r="L144" s="343"/>
      <c r="M144" s="15">
        <v>124</v>
      </c>
      <c r="N144" s="260"/>
      <c r="O144" s="260"/>
      <c r="P144" s="259"/>
      <c r="Q144" s="259"/>
      <c r="R144" s="260"/>
      <c r="S144" s="260"/>
      <c r="T144" s="24"/>
      <c r="U144" s="340">
        <f t="shared" si="3"/>
        <v>0</v>
      </c>
      <c r="V144" s="341"/>
      <c r="W144"/>
      <c r="X144"/>
    </row>
    <row r="145" spans="1:24" ht="22.5" customHeight="1" x14ac:dyDescent="0.25">
      <c r="A145" s="22">
        <v>125</v>
      </c>
      <c r="B145" s="239"/>
      <c r="C145" s="239"/>
      <c r="D145" s="238"/>
      <c r="E145" s="238"/>
      <c r="F145" s="239"/>
      <c r="G145" s="239"/>
      <c r="H145" s="238"/>
      <c r="I145" s="238"/>
      <c r="J145" s="309">
        <f t="shared" si="2"/>
        <v>0</v>
      </c>
      <c r="K145" s="309"/>
      <c r="L145" s="343"/>
      <c r="M145" s="22">
        <v>125</v>
      </c>
      <c r="N145" s="239"/>
      <c r="O145" s="239"/>
      <c r="P145" s="238"/>
      <c r="Q145" s="238"/>
      <c r="R145" s="239"/>
      <c r="S145" s="239"/>
      <c r="T145" s="23"/>
      <c r="U145" s="256">
        <f t="shared" si="3"/>
        <v>0</v>
      </c>
      <c r="V145" s="257"/>
      <c r="W145"/>
      <c r="X145"/>
    </row>
    <row r="146" spans="1:24" ht="22.5" customHeight="1" x14ac:dyDescent="0.25">
      <c r="A146" s="14">
        <v>126</v>
      </c>
      <c r="B146" s="252"/>
      <c r="C146" s="252"/>
      <c r="D146" s="251"/>
      <c r="E146" s="251"/>
      <c r="F146" s="252"/>
      <c r="G146" s="252"/>
      <c r="H146" s="251"/>
      <c r="I146" s="251"/>
      <c r="J146" s="323">
        <f t="shared" si="2"/>
        <v>0</v>
      </c>
      <c r="K146" s="324"/>
      <c r="L146" s="343"/>
      <c r="M146" s="15">
        <v>126</v>
      </c>
      <c r="N146" s="260"/>
      <c r="O146" s="260"/>
      <c r="P146" s="259"/>
      <c r="Q146" s="259"/>
      <c r="R146" s="260"/>
      <c r="S146" s="260"/>
      <c r="T146" s="24"/>
      <c r="U146" s="340">
        <f t="shared" si="3"/>
        <v>0</v>
      </c>
      <c r="V146" s="341"/>
      <c r="W146"/>
      <c r="X146"/>
    </row>
    <row r="147" spans="1:24" ht="22.5" customHeight="1" x14ac:dyDescent="0.25">
      <c r="A147" s="22">
        <v>127</v>
      </c>
      <c r="B147" s="239"/>
      <c r="C147" s="239"/>
      <c r="D147" s="238"/>
      <c r="E147" s="238"/>
      <c r="F147" s="239"/>
      <c r="G147" s="239"/>
      <c r="H147" s="238"/>
      <c r="I147" s="238"/>
      <c r="J147" s="309">
        <f t="shared" si="2"/>
        <v>0</v>
      </c>
      <c r="K147" s="309"/>
      <c r="L147" s="343"/>
      <c r="M147" s="22">
        <v>127</v>
      </c>
      <c r="N147" s="239"/>
      <c r="O147" s="239"/>
      <c r="P147" s="238"/>
      <c r="Q147" s="238"/>
      <c r="R147" s="239"/>
      <c r="S147" s="239"/>
      <c r="T147" s="23"/>
      <c r="U147" s="256">
        <f t="shared" si="3"/>
        <v>0</v>
      </c>
      <c r="V147" s="257"/>
      <c r="W147"/>
      <c r="X147"/>
    </row>
    <row r="148" spans="1:24" ht="22.5" customHeight="1" x14ac:dyDescent="0.25">
      <c r="A148" s="14">
        <v>128</v>
      </c>
      <c r="B148" s="252"/>
      <c r="C148" s="252"/>
      <c r="D148" s="251"/>
      <c r="E148" s="251"/>
      <c r="F148" s="252"/>
      <c r="G148" s="252"/>
      <c r="H148" s="251"/>
      <c r="I148" s="251"/>
      <c r="J148" s="323">
        <f t="shared" si="2"/>
        <v>0</v>
      </c>
      <c r="K148" s="324"/>
      <c r="L148" s="343"/>
      <c r="M148" s="15">
        <v>128</v>
      </c>
      <c r="N148" s="260"/>
      <c r="O148" s="260"/>
      <c r="P148" s="259"/>
      <c r="Q148" s="259"/>
      <c r="R148" s="260"/>
      <c r="S148" s="260"/>
      <c r="T148" s="24"/>
      <c r="U148" s="340">
        <f t="shared" si="3"/>
        <v>0</v>
      </c>
      <c r="V148" s="341"/>
      <c r="W148"/>
      <c r="X148"/>
    </row>
    <row r="149" spans="1:24" ht="22.5" customHeight="1" x14ac:dyDescent="0.25">
      <c r="A149" s="22">
        <v>129</v>
      </c>
      <c r="B149" s="239"/>
      <c r="C149" s="239"/>
      <c r="D149" s="238"/>
      <c r="E149" s="238"/>
      <c r="F149" s="239"/>
      <c r="G149" s="239"/>
      <c r="H149" s="238"/>
      <c r="I149" s="238"/>
      <c r="J149" s="309">
        <f t="shared" si="2"/>
        <v>0</v>
      </c>
      <c r="K149" s="309"/>
      <c r="L149" s="343"/>
      <c r="M149" s="22">
        <v>129</v>
      </c>
      <c r="N149" s="239"/>
      <c r="O149" s="239"/>
      <c r="P149" s="238"/>
      <c r="Q149" s="238"/>
      <c r="R149" s="239"/>
      <c r="S149" s="239"/>
      <c r="T149" s="23"/>
      <c r="U149" s="256">
        <f t="shared" si="3"/>
        <v>0</v>
      </c>
      <c r="V149" s="257"/>
      <c r="W149"/>
      <c r="X149"/>
    </row>
    <row r="150" spans="1:24" ht="22.5" customHeight="1" x14ac:dyDescent="0.25">
      <c r="A150" s="14">
        <v>130</v>
      </c>
      <c r="B150" s="252"/>
      <c r="C150" s="252"/>
      <c r="D150" s="251"/>
      <c r="E150" s="251"/>
      <c r="F150" s="252"/>
      <c r="G150" s="252"/>
      <c r="H150" s="251"/>
      <c r="I150" s="251"/>
      <c r="J150" s="323">
        <f t="shared" ref="J150:J213" si="4">D150*F150+H150</f>
        <v>0</v>
      </c>
      <c r="K150" s="324"/>
      <c r="L150" s="343"/>
      <c r="M150" s="15">
        <v>130</v>
      </c>
      <c r="N150" s="260"/>
      <c r="O150" s="260"/>
      <c r="P150" s="259"/>
      <c r="Q150" s="259"/>
      <c r="R150" s="260"/>
      <c r="S150" s="260"/>
      <c r="T150" s="24"/>
      <c r="U150" s="340">
        <f t="shared" si="3"/>
        <v>0</v>
      </c>
      <c r="V150" s="341"/>
      <c r="W150"/>
      <c r="X150"/>
    </row>
    <row r="151" spans="1:24" ht="22.5" customHeight="1" x14ac:dyDescent="0.25">
      <c r="A151" s="22">
        <v>131</v>
      </c>
      <c r="B151" s="239"/>
      <c r="C151" s="239"/>
      <c r="D151" s="238"/>
      <c r="E151" s="238"/>
      <c r="F151" s="239"/>
      <c r="G151" s="239"/>
      <c r="H151" s="238"/>
      <c r="I151" s="238"/>
      <c r="J151" s="309">
        <f t="shared" si="4"/>
        <v>0</v>
      </c>
      <c r="K151" s="309"/>
      <c r="L151" s="343"/>
      <c r="M151" s="22">
        <v>131</v>
      </c>
      <c r="N151" s="239"/>
      <c r="O151" s="239"/>
      <c r="P151" s="238"/>
      <c r="Q151" s="238"/>
      <c r="R151" s="239"/>
      <c r="S151" s="239"/>
      <c r="T151" s="23"/>
      <c r="U151" s="256">
        <f t="shared" ref="U151:U170" si="5">P151+R151</f>
        <v>0</v>
      </c>
      <c r="V151" s="257"/>
      <c r="W151"/>
      <c r="X151"/>
    </row>
    <row r="152" spans="1:24" ht="22.5" customHeight="1" x14ac:dyDescent="0.25">
      <c r="A152" s="14">
        <v>132</v>
      </c>
      <c r="B152" s="252"/>
      <c r="C152" s="252"/>
      <c r="D152" s="251"/>
      <c r="E152" s="251"/>
      <c r="F152" s="252"/>
      <c r="G152" s="252"/>
      <c r="H152" s="251"/>
      <c r="I152" s="251"/>
      <c r="J152" s="323">
        <f t="shared" si="4"/>
        <v>0</v>
      </c>
      <c r="K152" s="324"/>
      <c r="L152" s="343"/>
      <c r="M152" s="15">
        <v>132</v>
      </c>
      <c r="N152" s="260"/>
      <c r="O152" s="260"/>
      <c r="P152" s="259"/>
      <c r="Q152" s="259"/>
      <c r="R152" s="260"/>
      <c r="S152" s="260"/>
      <c r="T152" s="24"/>
      <c r="U152" s="340">
        <f t="shared" si="5"/>
        <v>0</v>
      </c>
      <c r="V152" s="341"/>
      <c r="W152"/>
      <c r="X152"/>
    </row>
    <row r="153" spans="1:24" ht="22.5" customHeight="1" x14ac:dyDescent="0.25">
      <c r="A153" s="22">
        <v>133</v>
      </c>
      <c r="B153" s="239"/>
      <c r="C153" s="239"/>
      <c r="D153" s="238"/>
      <c r="E153" s="238"/>
      <c r="F153" s="239"/>
      <c r="G153" s="239"/>
      <c r="H153" s="238"/>
      <c r="I153" s="238"/>
      <c r="J153" s="309">
        <f t="shared" si="4"/>
        <v>0</v>
      </c>
      <c r="K153" s="309"/>
      <c r="L153" s="343"/>
      <c r="M153" s="22">
        <v>133</v>
      </c>
      <c r="N153" s="239"/>
      <c r="O153" s="239"/>
      <c r="P153" s="238"/>
      <c r="Q153" s="238"/>
      <c r="R153" s="239"/>
      <c r="S153" s="239"/>
      <c r="T153" s="23"/>
      <c r="U153" s="256">
        <f t="shared" si="5"/>
        <v>0</v>
      </c>
      <c r="V153" s="257"/>
      <c r="W153"/>
      <c r="X153"/>
    </row>
    <row r="154" spans="1:24" ht="22.5" customHeight="1" x14ac:dyDescent="0.25">
      <c r="A154" s="14">
        <v>134</v>
      </c>
      <c r="B154" s="252"/>
      <c r="C154" s="252"/>
      <c r="D154" s="251"/>
      <c r="E154" s="251"/>
      <c r="F154" s="252"/>
      <c r="G154" s="252"/>
      <c r="H154" s="251"/>
      <c r="I154" s="251"/>
      <c r="J154" s="323">
        <f t="shared" si="4"/>
        <v>0</v>
      </c>
      <c r="K154" s="324"/>
      <c r="L154" s="343"/>
      <c r="M154" s="15">
        <v>134</v>
      </c>
      <c r="N154" s="260"/>
      <c r="O154" s="260"/>
      <c r="P154" s="259"/>
      <c r="Q154" s="259"/>
      <c r="R154" s="260"/>
      <c r="S154" s="260"/>
      <c r="T154" s="24"/>
      <c r="U154" s="340">
        <f t="shared" si="5"/>
        <v>0</v>
      </c>
      <c r="V154" s="341"/>
      <c r="W154"/>
      <c r="X154"/>
    </row>
    <row r="155" spans="1:24" ht="22.5" customHeight="1" x14ac:dyDescent="0.25">
      <c r="A155" s="22">
        <v>135</v>
      </c>
      <c r="B155" s="239"/>
      <c r="C155" s="239"/>
      <c r="D155" s="238"/>
      <c r="E155" s="238"/>
      <c r="F155" s="239"/>
      <c r="G155" s="239"/>
      <c r="H155" s="238"/>
      <c r="I155" s="238"/>
      <c r="J155" s="309">
        <f t="shared" si="4"/>
        <v>0</v>
      </c>
      <c r="K155" s="309"/>
      <c r="L155" s="343"/>
      <c r="M155" s="22">
        <v>135</v>
      </c>
      <c r="N155" s="239"/>
      <c r="O155" s="239"/>
      <c r="P155" s="238"/>
      <c r="Q155" s="238"/>
      <c r="R155" s="239"/>
      <c r="S155" s="239"/>
      <c r="T155" s="23"/>
      <c r="U155" s="256">
        <f t="shared" si="5"/>
        <v>0</v>
      </c>
      <c r="V155" s="257"/>
      <c r="W155"/>
      <c r="X155"/>
    </row>
    <row r="156" spans="1:24" ht="22.5" customHeight="1" x14ac:dyDescent="0.25">
      <c r="A156" s="14">
        <v>136</v>
      </c>
      <c r="B156" s="252"/>
      <c r="C156" s="252"/>
      <c r="D156" s="251"/>
      <c r="E156" s="251"/>
      <c r="F156" s="252"/>
      <c r="G156" s="252"/>
      <c r="H156" s="251"/>
      <c r="I156" s="251"/>
      <c r="J156" s="323">
        <f t="shared" si="4"/>
        <v>0</v>
      </c>
      <c r="K156" s="324"/>
      <c r="L156" s="343"/>
      <c r="M156" s="15">
        <v>136</v>
      </c>
      <c r="N156" s="260"/>
      <c r="O156" s="260"/>
      <c r="P156" s="259"/>
      <c r="Q156" s="259"/>
      <c r="R156" s="260"/>
      <c r="S156" s="260"/>
      <c r="T156" s="24"/>
      <c r="U156" s="340">
        <f t="shared" si="5"/>
        <v>0</v>
      </c>
      <c r="V156" s="341"/>
      <c r="W156"/>
      <c r="X156"/>
    </row>
    <row r="157" spans="1:24" ht="22.5" customHeight="1" x14ac:dyDescent="0.25">
      <c r="A157" s="22">
        <v>137</v>
      </c>
      <c r="B157" s="239"/>
      <c r="C157" s="239"/>
      <c r="D157" s="238"/>
      <c r="E157" s="238"/>
      <c r="F157" s="239"/>
      <c r="G157" s="239"/>
      <c r="H157" s="238"/>
      <c r="I157" s="238"/>
      <c r="J157" s="309">
        <f t="shared" si="4"/>
        <v>0</v>
      </c>
      <c r="K157" s="309"/>
      <c r="L157" s="343"/>
      <c r="M157" s="22">
        <v>137</v>
      </c>
      <c r="N157" s="239"/>
      <c r="O157" s="239"/>
      <c r="P157" s="238"/>
      <c r="Q157" s="238"/>
      <c r="R157" s="239"/>
      <c r="S157" s="239"/>
      <c r="T157" s="23"/>
      <c r="U157" s="256">
        <f t="shared" si="5"/>
        <v>0</v>
      </c>
      <c r="V157" s="257"/>
      <c r="W157"/>
      <c r="X157"/>
    </row>
    <row r="158" spans="1:24" ht="22.5" customHeight="1" x14ac:dyDescent="0.25">
      <c r="A158" s="14">
        <v>138</v>
      </c>
      <c r="B158" s="252"/>
      <c r="C158" s="252"/>
      <c r="D158" s="251"/>
      <c r="E158" s="251"/>
      <c r="F158" s="252"/>
      <c r="G158" s="252"/>
      <c r="H158" s="251"/>
      <c r="I158" s="251"/>
      <c r="J158" s="323">
        <f t="shared" si="4"/>
        <v>0</v>
      </c>
      <c r="K158" s="324"/>
      <c r="L158" s="343"/>
      <c r="M158" s="15">
        <v>138</v>
      </c>
      <c r="N158" s="260"/>
      <c r="O158" s="260"/>
      <c r="P158" s="259"/>
      <c r="Q158" s="259"/>
      <c r="R158" s="260"/>
      <c r="S158" s="260"/>
      <c r="T158" s="24"/>
      <c r="U158" s="340">
        <f t="shared" si="5"/>
        <v>0</v>
      </c>
      <c r="V158" s="341"/>
      <c r="W158"/>
      <c r="X158"/>
    </row>
    <row r="159" spans="1:24" ht="22.5" customHeight="1" x14ac:dyDescent="0.25">
      <c r="A159" s="22">
        <v>139</v>
      </c>
      <c r="B159" s="239"/>
      <c r="C159" s="239"/>
      <c r="D159" s="238"/>
      <c r="E159" s="238"/>
      <c r="F159" s="239"/>
      <c r="G159" s="239"/>
      <c r="H159" s="238"/>
      <c r="I159" s="238"/>
      <c r="J159" s="309">
        <f t="shared" si="4"/>
        <v>0</v>
      </c>
      <c r="K159" s="309"/>
      <c r="L159" s="343"/>
      <c r="M159" s="22">
        <v>139</v>
      </c>
      <c r="N159" s="239"/>
      <c r="O159" s="239"/>
      <c r="P159" s="238"/>
      <c r="Q159" s="238"/>
      <c r="R159" s="239"/>
      <c r="S159" s="239"/>
      <c r="T159" s="23"/>
      <c r="U159" s="256">
        <f t="shared" si="5"/>
        <v>0</v>
      </c>
      <c r="V159" s="257"/>
      <c r="W159"/>
      <c r="X159"/>
    </row>
    <row r="160" spans="1:24" ht="22.5" customHeight="1" x14ac:dyDescent="0.25">
      <c r="A160" s="14">
        <v>140</v>
      </c>
      <c r="B160" s="252"/>
      <c r="C160" s="252"/>
      <c r="D160" s="251"/>
      <c r="E160" s="251"/>
      <c r="F160" s="252"/>
      <c r="G160" s="252"/>
      <c r="H160" s="251"/>
      <c r="I160" s="251"/>
      <c r="J160" s="323">
        <f t="shared" si="4"/>
        <v>0</v>
      </c>
      <c r="K160" s="324"/>
      <c r="L160" s="343"/>
      <c r="M160" s="15">
        <v>140</v>
      </c>
      <c r="N160" s="260"/>
      <c r="O160" s="260"/>
      <c r="P160" s="259"/>
      <c r="Q160" s="259"/>
      <c r="R160" s="260"/>
      <c r="S160" s="260"/>
      <c r="T160" s="24"/>
      <c r="U160" s="340">
        <f t="shared" si="5"/>
        <v>0</v>
      </c>
      <c r="V160" s="341"/>
      <c r="W160"/>
      <c r="X160"/>
    </row>
    <row r="161" spans="1:24" ht="22.5" customHeight="1" x14ac:dyDescent="0.25">
      <c r="A161" s="22">
        <v>141</v>
      </c>
      <c r="B161" s="239"/>
      <c r="C161" s="239"/>
      <c r="D161" s="238"/>
      <c r="E161" s="238"/>
      <c r="F161" s="239"/>
      <c r="G161" s="239"/>
      <c r="H161" s="238"/>
      <c r="I161" s="238"/>
      <c r="J161" s="309">
        <f t="shared" si="4"/>
        <v>0</v>
      </c>
      <c r="K161" s="309"/>
      <c r="L161" s="343"/>
      <c r="M161" s="22">
        <v>141</v>
      </c>
      <c r="N161" s="239"/>
      <c r="O161" s="239"/>
      <c r="P161" s="238"/>
      <c r="Q161" s="238"/>
      <c r="R161" s="239"/>
      <c r="S161" s="239"/>
      <c r="T161" s="23"/>
      <c r="U161" s="256">
        <f t="shared" si="5"/>
        <v>0</v>
      </c>
      <c r="V161" s="257"/>
      <c r="W161"/>
      <c r="X161"/>
    </row>
    <row r="162" spans="1:24" ht="22.5" customHeight="1" x14ac:dyDescent="0.25">
      <c r="A162" s="14">
        <v>142</v>
      </c>
      <c r="B162" s="252"/>
      <c r="C162" s="252"/>
      <c r="D162" s="251"/>
      <c r="E162" s="251"/>
      <c r="F162" s="252"/>
      <c r="G162" s="252"/>
      <c r="H162" s="251"/>
      <c r="I162" s="251"/>
      <c r="J162" s="323">
        <f t="shared" si="4"/>
        <v>0</v>
      </c>
      <c r="K162" s="324"/>
      <c r="L162" s="343"/>
      <c r="M162" s="15">
        <v>142</v>
      </c>
      <c r="N162" s="260"/>
      <c r="O162" s="260"/>
      <c r="P162" s="259"/>
      <c r="Q162" s="259"/>
      <c r="R162" s="260"/>
      <c r="S162" s="260"/>
      <c r="T162" s="24"/>
      <c r="U162" s="340">
        <f t="shared" si="5"/>
        <v>0</v>
      </c>
      <c r="V162" s="341"/>
      <c r="W162"/>
      <c r="X162"/>
    </row>
    <row r="163" spans="1:24" ht="22.5" customHeight="1" x14ac:dyDescent="0.25">
      <c r="A163" s="22">
        <v>143</v>
      </c>
      <c r="B163" s="239"/>
      <c r="C163" s="239"/>
      <c r="D163" s="238"/>
      <c r="E163" s="238"/>
      <c r="F163" s="239"/>
      <c r="G163" s="239"/>
      <c r="H163" s="238"/>
      <c r="I163" s="238"/>
      <c r="J163" s="309">
        <f t="shared" si="4"/>
        <v>0</v>
      </c>
      <c r="K163" s="309"/>
      <c r="L163" s="343"/>
      <c r="M163" s="22">
        <v>143</v>
      </c>
      <c r="N163" s="239"/>
      <c r="O163" s="239"/>
      <c r="P163" s="238"/>
      <c r="Q163" s="238"/>
      <c r="R163" s="239"/>
      <c r="S163" s="239"/>
      <c r="T163" s="23"/>
      <c r="U163" s="256">
        <f t="shared" si="5"/>
        <v>0</v>
      </c>
      <c r="V163" s="257"/>
      <c r="W163"/>
      <c r="X163"/>
    </row>
    <row r="164" spans="1:24" ht="22.5" customHeight="1" x14ac:dyDescent="0.25">
      <c r="A164" s="14">
        <v>144</v>
      </c>
      <c r="B164" s="252"/>
      <c r="C164" s="252"/>
      <c r="D164" s="251"/>
      <c r="E164" s="251"/>
      <c r="F164" s="252"/>
      <c r="G164" s="252"/>
      <c r="H164" s="251"/>
      <c r="I164" s="251"/>
      <c r="J164" s="323">
        <f t="shared" si="4"/>
        <v>0</v>
      </c>
      <c r="K164" s="324"/>
      <c r="L164" s="343"/>
      <c r="M164" s="15">
        <v>144</v>
      </c>
      <c r="N164" s="260"/>
      <c r="O164" s="260"/>
      <c r="P164" s="259"/>
      <c r="Q164" s="259"/>
      <c r="R164" s="260"/>
      <c r="S164" s="260"/>
      <c r="T164" s="24"/>
      <c r="U164" s="340">
        <f t="shared" si="5"/>
        <v>0</v>
      </c>
      <c r="V164" s="341"/>
      <c r="W164"/>
      <c r="X164"/>
    </row>
    <row r="165" spans="1:24" ht="22.5" customHeight="1" x14ac:dyDescent="0.25">
      <c r="A165" s="22">
        <v>145</v>
      </c>
      <c r="B165" s="239"/>
      <c r="C165" s="239"/>
      <c r="D165" s="238"/>
      <c r="E165" s="238"/>
      <c r="F165" s="239"/>
      <c r="G165" s="239"/>
      <c r="H165" s="238"/>
      <c r="I165" s="238"/>
      <c r="J165" s="309">
        <f t="shared" si="4"/>
        <v>0</v>
      </c>
      <c r="K165" s="309"/>
      <c r="L165" s="343"/>
      <c r="M165" s="22">
        <v>145</v>
      </c>
      <c r="N165" s="239"/>
      <c r="O165" s="239"/>
      <c r="P165" s="238"/>
      <c r="Q165" s="238"/>
      <c r="R165" s="239"/>
      <c r="S165" s="239"/>
      <c r="T165" s="23"/>
      <c r="U165" s="256">
        <f t="shared" si="5"/>
        <v>0</v>
      </c>
      <c r="V165" s="257"/>
      <c r="W165"/>
      <c r="X165"/>
    </row>
    <row r="166" spans="1:24" ht="22.5" customHeight="1" x14ac:dyDescent="0.25">
      <c r="A166" s="14">
        <v>146</v>
      </c>
      <c r="B166" s="252"/>
      <c r="C166" s="252"/>
      <c r="D166" s="251"/>
      <c r="E166" s="251"/>
      <c r="F166" s="252"/>
      <c r="G166" s="252"/>
      <c r="H166" s="251"/>
      <c r="I166" s="251"/>
      <c r="J166" s="323">
        <f t="shared" si="4"/>
        <v>0</v>
      </c>
      <c r="K166" s="324"/>
      <c r="L166" s="343"/>
      <c r="M166" s="15">
        <v>146</v>
      </c>
      <c r="N166" s="260"/>
      <c r="O166" s="260"/>
      <c r="P166" s="259"/>
      <c r="Q166" s="259"/>
      <c r="R166" s="260"/>
      <c r="S166" s="260"/>
      <c r="T166" s="24"/>
      <c r="U166" s="340">
        <f t="shared" si="5"/>
        <v>0</v>
      </c>
      <c r="V166" s="341"/>
      <c r="W166"/>
      <c r="X166"/>
    </row>
    <row r="167" spans="1:24" ht="22.5" customHeight="1" x14ac:dyDescent="0.25">
      <c r="A167" s="22">
        <v>147</v>
      </c>
      <c r="B167" s="239"/>
      <c r="C167" s="239"/>
      <c r="D167" s="238"/>
      <c r="E167" s="238"/>
      <c r="F167" s="239"/>
      <c r="G167" s="239"/>
      <c r="H167" s="238"/>
      <c r="I167" s="238"/>
      <c r="J167" s="309">
        <f t="shared" si="4"/>
        <v>0</v>
      </c>
      <c r="K167" s="309"/>
      <c r="L167" s="343"/>
      <c r="M167" s="22">
        <v>147</v>
      </c>
      <c r="N167" s="239"/>
      <c r="O167" s="239"/>
      <c r="P167" s="238"/>
      <c r="Q167" s="238"/>
      <c r="R167" s="239"/>
      <c r="S167" s="239"/>
      <c r="T167" s="23"/>
      <c r="U167" s="256">
        <f t="shared" si="5"/>
        <v>0</v>
      </c>
      <c r="V167" s="257"/>
      <c r="W167"/>
      <c r="X167"/>
    </row>
    <row r="168" spans="1:24" ht="22.5" customHeight="1" x14ac:dyDescent="0.25">
      <c r="A168" s="14">
        <v>148</v>
      </c>
      <c r="B168" s="252"/>
      <c r="C168" s="252"/>
      <c r="D168" s="251"/>
      <c r="E168" s="251"/>
      <c r="F168" s="252"/>
      <c r="G168" s="252"/>
      <c r="H168" s="251"/>
      <c r="I168" s="251"/>
      <c r="J168" s="323">
        <f t="shared" si="4"/>
        <v>0</v>
      </c>
      <c r="K168" s="324"/>
      <c r="L168" s="343"/>
      <c r="M168" s="15">
        <v>148</v>
      </c>
      <c r="N168" s="260"/>
      <c r="O168" s="260"/>
      <c r="P168" s="259"/>
      <c r="Q168" s="259"/>
      <c r="R168" s="260"/>
      <c r="S168" s="260"/>
      <c r="T168" s="24"/>
      <c r="U168" s="340">
        <f t="shared" si="5"/>
        <v>0</v>
      </c>
      <c r="V168" s="341"/>
      <c r="W168"/>
      <c r="X168"/>
    </row>
    <row r="169" spans="1:24" ht="22.5" customHeight="1" x14ac:dyDescent="0.25">
      <c r="A169" s="22">
        <v>149</v>
      </c>
      <c r="B169" s="239"/>
      <c r="C169" s="239"/>
      <c r="D169" s="238"/>
      <c r="E169" s="238"/>
      <c r="F169" s="239"/>
      <c r="G169" s="239"/>
      <c r="H169" s="238"/>
      <c r="I169" s="238"/>
      <c r="J169" s="309">
        <f t="shared" si="4"/>
        <v>0</v>
      </c>
      <c r="K169" s="309"/>
      <c r="L169" s="343"/>
      <c r="M169" s="22">
        <v>149</v>
      </c>
      <c r="N169" s="239"/>
      <c r="O169" s="239"/>
      <c r="P169" s="238"/>
      <c r="Q169" s="238"/>
      <c r="R169" s="239"/>
      <c r="S169" s="239"/>
      <c r="T169" s="23"/>
      <c r="U169" s="256">
        <f t="shared" si="5"/>
        <v>0</v>
      </c>
      <c r="V169" s="257"/>
      <c r="W169"/>
      <c r="X169"/>
    </row>
    <row r="170" spans="1:24" ht="22.5" customHeight="1" x14ac:dyDescent="0.25">
      <c r="A170" s="14">
        <v>150</v>
      </c>
      <c r="B170" s="252"/>
      <c r="C170" s="252"/>
      <c r="D170" s="251"/>
      <c r="E170" s="251"/>
      <c r="F170" s="252"/>
      <c r="G170" s="252"/>
      <c r="H170" s="251"/>
      <c r="I170" s="251"/>
      <c r="J170" s="323">
        <f t="shared" si="4"/>
        <v>0</v>
      </c>
      <c r="K170" s="324"/>
      <c r="L170" s="343"/>
      <c r="M170" s="15">
        <v>150</v>
      </c>
      <c r="N170" s="260"/>
      <c r="O170" s="260"/>
      <c r="P170" s="259"/>
      <c r="Q170" s="259"/>
      <c r="R170" s="260"/>
      <c r="S170" s="260"/>
      <c r="T170" s="24"/>
      <c r="U170" s="340">
        <f t="shared" si="5"/>
        <v>0</v>
      </c>
      <c r="V170" s="341"/>
      <c r="W170"/>
      <c r="X170"/>
    </row>
    <row r="171" spans="1:24" ht="22.5" customHeight="1" x14ac:dyDescent="0.25">
      <c r="A171" s="22">
        <v>151</v>
      </c>
      <c r="B171" s="239"/>
      <c r="C171" s="239"/>
      <c r="D171" s="238"/>
      <c r="E171" s="238"/>
      <c r="F171" s="239"/>
      <c r="G171" s="239"/>
      <c r="H171" s="238"/>
      <c r="I171" s="238"/>
      <c r="J171" s="309">
        <f t="shared" si="4"/>
        <v>0</v>
      </c>
      <c r="K171" s="309"/>
      <c r="L171" s="343"/>
      <c r="M171" s="17"/>
      <c r="N171" s="346"/>
      <c r="O171" s="346"/>
      <c r="P171" s="346"/>
      <c r="Q171" s="346"/>
      <c r="R171" s="346"/>
      <c r="S171" s="346"/>
      <c r="T171" s="346"/>
      <c r="U171" s="346"/>
      <c r="V171" s="346"/>
      <c r="W171" s="346"/>
      <c r="X171" s="346"/>
    </row>
    <row r="172" spans="1:24" ht="22.5" customHeight="1" x14ac:dyDescent="0.25">
      <c r="A172" s="14">
        <v>152</v>
      </c>
      <c r="B172" s="252"/>
      <c r="C172" s="252"/>
      <c r="D172" s="251"/>
      <c r="E172" s="251"/>
      <c r="F172" s="252"/>
      <c r="G172" s="252"/>
      <c r="H172" s="251"/>
      <c r="I172" s="251"/>
      <c r="J172" s="323">
        <f t="shared" si="4"/>
        <v>0</v>
      </c>
      <c r="K172" s="324"/>
      <c r="L172" s="343"/>
      <c r="M172" s="17"/>
      <c r="N172" s="346"/>
      <c r="O172" s="346"/>
      <c r="P172" s="346"/>
      <c r="Q172" s="346"/>
      <c r="R172" s="346"/>
      <c r="S172" s="346"/>
      <c r="T172" s="346"/>
      <c r="U172" s="346"/>
      <c r="V172" s="346"/>
      <c r="W172" s="346"/>
      <c r="X172" s="346"/>
    </row>
    <row r="173" spans="1:24" ht="22.5" customHeight="1" x14ac:dyDescent="0.25">
      <c r="A173" s="22">
        <v>153</v>
      </c>
      <c r="B173" s="239"/>
      <c r="C173" s="239"/>
      <c r="D173" s="238"/>
      <c r="E173" s="238"/>
      <c r="F173" s="239"/>
      <c r="G173" s="239"/>
      <c r="H173" s="238"/>
      <c r="I173" s="238"/>
      <c r="J173" s="309">
        <f t="shared" si="4"/>
        <v>0</v>
      </c>
      <c r="K173" s="309"/>
      <c r="L173" s="343"/>
      <c r="M173" s="17"/>
      <c r="N173" s="346"/>
      <c r="O173" s="346"/>
      <c r="P173" s="346"/>
      <c r="Q173" s="346"/>
      <c r="R173" s="346"/>
      <c r="S173" s="346"/>
      <c r="T173" s="346"/>
      <c r="U173" s="346"/>
      <c r="V173" s="346"/>
      <c r="W173" s="346"/>
      <c r="X173" s="346"/>
    </row>
    <row r="174" spans="1:24" ht="22.5" customHeight="1" x14ac:dyDescent="0.25">
      <c r="A174" s="14">
        <v>154</v>
      </c>
      <c r="B174" s="252"/>
      <c r="C174" s="252"/>
      <c r="D174" s="251"/>
      <c r="E174" s="251"/>
      <c r="F174" s="252"/>
      <c r="G174" s="252"/>
      <c r="H174" s="251"/>
      <c r="I174" s="251"/>
      <c r="J174" s="323">
        <f t="shared" si="4"/>
        <v>0</v>
      </c>
      <c r="K174" s="324"/>
      <c r="L174" s="343"/>
      <c r="M174" s="17"/>
      <c r="N174" s="346"/>
      <c r="O174" s="346"/>
      <c r="P174" s="346"/>
      <c r="Q174" s="346"/>
      <c r="R174" s="346"/>
      <c r="S174" s="346"/>
      <c r="T174" s="346"/>
      <c r="U174" s="346"/>
      <c r="V174" s="346"/>
      <c r="W174" s="346"/>
      <c r="X174" s="346"/>
    </row>
    <row r="175" spans="1:24" ht="22.5" customHeight="1" x14ac:dyDescent="0.25">
      <c r="A175" s="22">
        <v>155</v>
      </c>
      <c r="B175" s="239"/>
      <c r="C175" s="239"/>
      <c r="D175" s="238"/>
      <c r="E175" s="238"/>
      <c r="F175" s="239"/>
      <c r="G175" s="239"/>
      <c r="H175" s="238"/>
      <c r="I175" s="238"/>
      <c r="J175" s="309">
        <f t="shared" si="4"/>
        <v>0</v>
      </c>
      <c r="K175" s="309"/>
      <c r="L175" s="343"/>
      <c r="M175" s="17"/>
      <c r="N175" s="346"/>
      <c r="O175" s="346"/>
      <c r="P175" s="346"/>
      <c r="Q175" s="346"/>
      <c r="R175" s="346"/>
      <c r="S175" s="346"/>
      <c r="T175" s="346"/>
      <c r="U175" s="346"/>
      <c r="V175" s="346"/>
      <c r="W175" s="346"/>
      <c r="X175" s="346"/>
    </row>
    <row r="176" spans="1:24" ht="22.5" customHeight="1" x14ac:dyDescent="0.25">
      <c r="A176" s="14">
        <v>156</v>
      </c>
      <c r="B176" s="252"/>
      <c r="C176" s="252"/>
      <c r="D176" s="251"/>
      <c r="E176" s="251"/>
      <c r="F176" s="252"/>
      <c r="G176" s="252"/>
      <c r="H176" s="251"/>
      <c r="I176" s="251"/>
      <c r="J176" s="323">
        <f t="shared" si="4"/>
        <v>0</v>
      </c>
      <c r="K176" s="324"/>
      <c r="L176" s="343"/>
      <c r="M176" s="17"/>
      <c r="N176" s="346"/>
      <c r="O176" s="346"/>
      <c r="P176" s="346"/>
      <c r="Q176" s="346"/>
      <c r="R176" s="346"/>
      <c r="S176" s="346"/>
      <c r="T176" s="346"/>
      <c r="U176" s="346"/>
      <c r="V176" s="346"/>
      <c r="W176" s="346"/>
      <c r="X176" s="346"/>
    </row>
    <row r="177" spans="1:24" ht="22.5" customHeight="1" x14ac:dyDescent="0.25">
      <c r="A177" s="22">
        <v>157</v>
      </c>
      <c r="B177" s="239"/>
      <c r="C177" s="239"/>
      <c r="D177" s="238"/>
      <c r="E177" s="238"/>
      <c r="F177" s="239"/>
      <c r="G177" s="239"/>
      <c r="H177" s="238"/>
      <c r="I177" s="238"/>
      <c r="J177" s="309">
        <f t="shared" si="4"/>
        <v>0</v>
      </c>
      <c r="K177" s="309"/>
      <c r="L177" s="343"/>
      <c r="M177" s="17"/>
      <c r="N177" s="346"/>
      <c r="O177" s="346"/>
      <c r="P177" s="346"/>
      <c r="Q177" s="346"/>
      <c r="R177" s="346"/>
      <c r="S177" s="346"/>
      <c r="T177" s="346"/>
      <c r="U177" s="346"/>
      <c r="V177" s="346"/>
      <c r="W177" s="346"/>
      <c r="X177" s="346"/>
    </row>
    <row r="178" spans="1:24" ht="22.5" customHeight="1" x14ac:dyDescent="0.25">
      <c r="A178" s="14">
        <v>158</v>
      </c>
      <c r="B178" s="252"/>
      <c r="C178" s="252"/>
      <c r="D178" s="251"/>
      <c r="E178" s="251"/>
      <c r="F178" s="252"/>
      <c r="G178" s="252"/>
      <c r="H178" s="251"/>
      <c r="I178" s="251"/>
      <c r="J178" s="323">
        <f t="shared" si="4"/>
        <v>0</v>
      </c>
      <c r="K178" s="324"/>
      <c r="L178" s="343"/>
      <c r="M178" s="17"/>
      <c r="N178" s="346"/>
      <c r="O178" s="346"/>
      <c r="P178" s="346"/>
      <c r="Q178" s="346"/>
      <c r="R178" s="346"/>
      <c r="S178" s="346"/>
      <c r="T178" s="346"/>
      <c r="U178" s="346"/>
      <c r="V178" s="346"/>
      <c r="W178" s="346"/>
      <c r="X178" s="346"/>
    </row>
    <row r="179" spans="1:24" ht="22.5" customHeight="1" x14ac:dyDescent="0.25">
      <c r="A179" s="22">
        <v>159</v>
      </c>
      <c r="B179" s="239"/>
      <c r="C179" s="239"/>
      <c r="D179" s="238"/>
      <c r="E179" s="238"/>
      <c r="F179" s="239"/>
      <c r="G179" s="239"/>
      <c r="H179" s="238"/>
      <c r="I179" s="238"/>
      <c r="J179" s="309">
        <f t="shared" si="4"/>
        <v>0</v>
      </c>
      <c r="K179" s="309"/>
      <c r="L179" s="343"/>
      <c r="M179" s="17"/>
      <c r="N179" s="346"/>
      <c r="O179" s="346"/>
      <c r="P179" s="346"/>
      <c r="Q179" s="346"/>
      <c r="R179" s="346"/>
      <c r="S179" s="346"/>
      <c r="T179" s="346"/>
      <c r="U179" s="346"/>
      <c r="V179" s="346"/>
      <c r="W179" s="346"/>
      <c r="X179" s="346"/>
    </row>
    <row r="180" spans="1:24" ht="22.5" customHeight="1" x14ac:dyDescent="0.25">
      <c r="A180" s="14">
        <v>160</v>
      </c>
      <c r="B180" s="252"/>
      <c r="C180" s="252"/>
      <c r="D180" s="251"/>
      <c r="E180" s="251"/>
      <c r="F180" s="252"/>
      <c r="G180" s="252"/>
      <c r="H180" s="251"/>
      <c r="I180" s="251"/>
      <c r="J180" s="323">
        <f t="shared" si="4"/>
        <v>0</v>
      </c>
      <c r="K180" s="324"/>
      <c r="L180" s="343"/>
      <c r="M180" s="17"/>
      <c r="N180" s="346"/>
      <c r="O180" s="346"/>
      <c r="P180" s="346"/>
      <c r="Q180" s="346"/>
      <c r="R180" s="346"/>
      <c r="S180" s="346"/>
      <c r="T180" s="346"/>
      <c r="U180" s="346"/>
      <c r="V180" s="346"/>
      <c r="W180" s="346"/>
      <c r="X180" s="346"/>
    </row>
    <row r="181" spans="1:24" ht="22.5" customHeight="1" x14ac:dyDescent="0.25">
      <c r="A181" s="22">
        <v>161</v>
      </c>
      <c r="B181" s="239"/>
      <c r="C181" s="239"/>
      <c r="D181" s="238"/>
      <c r="E181" s="238"/>
      <c r="F181" s="239"/>
      <c r="G181" s="239"/>
      <c r="H181" s="238"/>
      <c r="I181" s="238"/>
      <c r="J181" s="309">
        <f t="shared" si="4"/>
        <v>0</v>
      </c>
      <c r="K181" s="309"/>
      <c r="L181" s="343"/>
      <c r="M181" s="17"/>
      <c r="N181" s="346"/>
      <c r="O181" s="346"/>
      <c r="P181" s="346"/>
      <c r="Q181" s="346"/>
      <c r="R181" s="346"/>
      <c r="S181" s="346"/>
      <c r="T181" s="346"/>
      <c r="U181" s="346"/>
      <c r="V181" s="346"/>
      <c r="W181" s="346"/>
      <c r="X181" s="346"/>
    </row>
    <row r="182" spans="1:24" ht="22.5" customHeight="1" x14ac:dyDescent="0.25">
      <c r="A182" s="14">
        <v>162</v>
      </c>
      <c r="B182" s="252"/>
      <c r="C182" s="252"/>
      <c r="D182" s="251"/>
      <c r="E182" s="251"/>
      <c r="F182" s="252"/>
      <c r="G182" s="252"/>
      <c r="H182" s="251"/>
      <c r="I182" s="251"/>
      <c r="J182" s="323">
        <f t="shared" si="4"/>
        <v>0</v>
      </c>
      <c r="K182" s="324"/>
      <c r="L182" s="343"/>
      <c r="M182" s="17"/>
      <c r="N182" s="346"/>
      <c r="O182" s="346"/>
      <c r="P182" s="346"/>
      <c r="Q182" s="346"/>
      <c r="R182" s="346"/>
      <c r="S182" s="346"/>
      <c r="T182" s="346"/>
      <c r="U182" s="346"/>
      <c r="V182" s="346"/>
      <c r="W182" s="346"/>
      <c r="X182" s="346"/>
    </row>
    <row r="183" spans="1:24" ht="22.5" customHeight="1" x14ac:dyDescent="0.25">
      <c r="A183" s="22">
        <v>163</v>
      </c>
      <c r="B183" s="239"/>
      <c r="C183" s="239"/>
      <c r="D183" s="238"/>
      <c r="E183" s="238"/>
      <c r="F183" s="239"/>
      <c r="G183" s="239"/>
      <c r="H183" s="238"/>
      <c r="I183" s="238"/>
      <c r="J183" s="309">
        <f t="shared" si="4"/>
        <v>0</v>
      </c>
      <c r="K183" s="309"/>
      <c r="L183" s="343"/>
      <c r="M183" s="17"/>
      <c r="N183" s="346"/>
      <c r="O183" s="346"/>
      <c r="P183" s="346"/>
      <c r="Q183" s="346"/>
      <c r="R183" s="346"/>
      <c r="S183" s="346"/>
      <c r="T183" s="346"/>
      <c r="U183" s="346"/>
      <c r="V183" s="346"/>
      <c r="W183" s="346"/>
      <c r="X183" s="346"/>
    </row>
    <row r="184" spans="1:24" ht="22.5" customHeight="1" x14ac:dyDescent="0.25">
      <c r="A184" s="14">
        <v>164</v>
      </c>
      <c r="B184" s="252"/>
      <c r="C184" s="252"/>
      <c r="D184" s="251"/>
      <c r="E184" s="251"/>
      <c r="F184" s="252"/>
      <c r="G184" s="252"/>
      <c r="H184" s="251"/>
      <c r="I184" s="251"/>
      <c r="J184" s="323">
        <f t="shared" si="4"/>
        <v>0</v>
      </c>
      <c r="K184" s="324"/>
      <c r="L184" s="343"/>
      <c r="M184" s="17"/>
      <c r="N184" s="346"/>
      <c r="O184" s="346"/>
      <c r="P184" s="346"/>
      <c r="Q184" s="346"/>
      <c r="R184" s="346"/>
      <c r="S184" s="346"/>
      <c r="T184" s="346"/>
      <c r="U184" s="346"/>
      <c r="V184" s="346"/>
      <c r="W184" s="346"/>
      <c r="X184" s="346"/>
    </row>
    <row r="185" spans="1:24" ht="22.5" customHeight="1" x14ac:dyDescent="0.25">
      <c r="A185" s="22">
        <v>165</v>
      </c>
      <c r="B185" s="239"/>
      <c r="C185" s="239"/>
      <c r="D185" s="238"/>
      <c r="E185" s="238"/>
      <c r="F185" s="239"/>
      <c r="G185" s="239"/>
      <c r="H185" s="238"/>
      <c r="I185" s="238"/>
      <c r="J185" s="309">
        <f t="shared" si="4"/>
        <v>0</v>
      </c>
      <c r="K185" s="309"/>
      <c r="L185" s="343"/>
      <c r="M185" s="17"/>
      <c r="N185" s="346"/>
      <c r="O185" s="346"/>
      <c r="P185" s="346"/>
      <c r="Q185" s="346"/>
      <c r="R185" s="346"/>
      <c r="S185" s="346"/>
      <c r="T185" s="346"/>
      <c r="U185" s="346"/>
      <c r="V185" s="346"/>
      <c r="W185" s="346"/>
      <c r="X185" s="346"/>
    </row>
    <row r="186" spans="1:24" ht="22.5" customHeight="1" x14ac:dyDescent="0.25">
      <c r="A186" s="14">
        <v>166</v>
      </c>
      <c r="B186" s="252"/>
      <c r="C186" s="252"/>
      <c r="D186" s="251"/>
      <c r="E186" s="251"/>
      <c r="F186" s="252"/>
      <c r="G186" s="252"/>
      <c r="H186" s="251"/>
      <c r="I186" s="251"/>
      <c r="J186" s="323">
        <f t="shared" si="4"/>
        <v>0</v>
      </c>
      <c r="K186" s="324"/>
      <c r="L186" s="343"/>
      <c r="M186" s="17"/>
      <c r="N186" s="346"/>
      <c r="O186" s="346"/>
      <c r="P186" s="346"/>
      <c r="Q186" s="346"/>
      <c r="R186" s="346"/>
      <c r="S186" s="346"/>
      <c r="T186" s="346"/>
      <c r="U186" s="346"/>
      <c r="V186" s="346"/>
      <c r="W186" s="346"/>
      <c r="X186" s="346"/>
    </row>
    <row r="187" spans="1:24" ht="22.5" customHeight="1" x14ac:dyDescent="0.25">
      <c r="A187" s="22">
        <v>167</v>
      </c>
      <c r="B187" s="239"/>
      <c r="C187" s="239"/>
      <c r="D187" s="238"/>
      <c r="E187" s="238"/>
      <c r="F187" s="239"/>
      <c r="G187" s="239"/>
      <c r="H187" s="238"/>
      <c r="I187" s="238"/>
      <c r="J187" s="309">
        <f t="shared" si="4"/>
        <v>0</v>
      </c>
      <c r="K187" s="309"/>
      <c r="L187" s="343"/>
      <c r="M187" s="17"/>
      <c r="N187" s="346"/>
      <c r="O187" s="346"/>
      <c r="P187" s="346"/>
      <c r="Q187" s="346"/>
      <c r="R187" s="346"/>
      <c r="S187" s="346"/>
      <c r="T187" s="346"/>
      <c r="U187" s="346"/>
      <c r="V187" s="346"/>
      <c r="W187" s="346"/>
      <c r="X187" s="346"/>
    </row>
    <row r="188" spans="1:24" ht="22.5" customHeight="1" x14ac:dyDescent="0.25">
      <c r="A188" s="14">
        <v>168</v>
      </c>
      <c r="B188" s="252"/>
      <c r="C188" s="252"/>
      <c r="D188" s="251"/>
      <c r="E188" s="251"/>
      <c r="F188" s="252"/>
      <c r="G188" s="252"/>
      <c r="H188" s="251"/>
      <c r="I188" s="251"/>
      <c r="J188" s="323">
        <f t="shared" si="4"/>
        <v>0</v>
      </c>
      <c r="K188" s="324"/>
      <c r="L188" s="343"/>
      <c r="M188" s="17"/>
      <c r="N188" s="346"/>
      <c r="O188" s="346"/>
      <c r="P188" s="346"/>
      <c r="Q188" s="346"/>
      <c r="R188" s="346"/>
      <c r="S188" s="346"/>
      <c r="T188" s="346"/>
      <c r="U188" s="346"/>
      <c r="V188" s="346"/>
      <c r="W188" s="346"/>
      <c r="X188" s="346"/>
    </row>
    <row r="189" spans="1:24" ht="22.5" customHeight="1" x14ac:dyDescent="0.25">
      <c r="A189" s="22">
        <v>169</v>
      </c>
      <c r="B189" s="239"/>
      <c r="C189" s="239"/>
      <c r="D189" s="238"/>
      <c r="E189" s="238"/>
      <c r="F189" s="239"/>
      <c r="G189" s="239"/>
      <c r="H189" s="238"/>
      <c r="I189" s="238"/>
      <c r="J189" s="309">
        <f t="shared" si="4"/>
        <v>0</v>
      </c>
      <c r="K189" s="309"/>
      <c r="L189" s="343"/>
      <c r="M189" s="17"/>
      <c r="N189" s="346"/>
      <c r="O189" s="346"/>
      <c r="P189" s="346"/>
      <c r="Q189" s="346"/>
      <c r="R189" s="346"/>
      <c r="S189" s="346"/>
      <c r="T189" s="346"/>
      <c r="U189" s="346"/>
      <c r="V189" s="346"/>
      <c r="W189" s="346"/>
      <c r="X189" s="346"/>
    </row>
    <row r="190" spans="1:24" ht="22.5" customHeight="1" x14ac:dyDescent="0.25">
      <c r="A190" s="14">
        <v>170</v>
      </c>
      <c r="B190" s="252"/>
      <c r="C190" s="252"/>
      <c r="D190" s="251"/>
      <c r="E190" s="251"/>
      <c r="F190" s="252"/>
      <c r="G190" s="252"/>
      <c r="H190" s="251"/>
      <c r="I190" s="251"/>
      <c r="J190" s="323">
        <f t="shared" si="4"/>
        <v>0</v>
      </c>
      <c r="K190" s="324"/>
      <c r="L190" s="343"/>
      <c r="M190" s="17"/>
      <c r="N190" s="346"/>
      <c r="O190" s="346"/>
      <c r="P190" s="346"/>
      <c r="Q190" s="346"/>
      <c r="R190" s="346"/>
      <c r="S190" s="346"/>
      <c r="T190" s="346"/>
      <c r="U190" s="346"/>
      <c r="V190" s="346"/>
      <c r="W190" s="346"/>
      <c r="X190" s="346"/>
    </row>
    <row r="191" spans="1:24" ht="22.5" customHeight="1" x14ac:dyDescent="0.25">
      <c r="A191" s="22">
        <v>171</v>
      </c>
      <c r="B191" s="239"/>
      <c r="C191" s="239"/>
      <c r="D191" s="238"/>
      <c r="E191" s="238"/>
      <c r="F191" s="239"/>
      <c r="G191" s="239"/>
      <c r="H191" s="238"/>
      <c r="I191" s="238"/>
      <c r="J191" s="309">
        <f t="shared" si="4"/>
        <v>0</v>
      </c>
      <c r="K191" s="309"/>
      <c r="L191" s="343"/>
      <c r="M191" s="17"/>
      <c r="N191" s="346"/>
      <c r="O191" s="346"/>
      <c r="P191" s="346"/>
      <c r="Q191" s="346"/>
      <c r="R191" s="346"/>
      <c r="S191" s="346"/>
      <c r="T191" s="346"/>
      <c r="U191" s="346"/>
      <c r="V191" s="346"/>
      <c r="W191" s="346"/>
      <c r="X191" s="346"/>
    </row>
    <row r="192" spans="1:24" ht="22.5" customHeight="1" x14ac:dyDescent="0.25">
      <c r="A192" s="14">
        <v>172</v>
      </c>
      <c r="B192" s="252"/>
      <c r="C192" s="252"/>
      <c r="D192" s="251"/>
      <c r="E192" s="251"/>
      <c r="F192" s="252"/>
      <c r="G192" s="252"/>
      <c r="H192" s="251"/>
      <c r="I192" s="251"/>
      <c r="J192" s="323">
        <f t="shared" si="4"/>
        <v>0</v>
      </c>
      <c r="K192" s="324"/>
      <c r="L192" s="343"/>
      <c r="M192" s="17"/>
      <c r="N192" s="346"/>
      <c r="O192" s="346"/>
      <c r="P192" s="346"/>
      <c r="Q192" s="346"/>
      <c r="R192" s="346"/>
      <c r="S192" s="346"/>
      <c r="T192" s="346"/>
      <c r="U192" s="346"/>
      <c r="V192" s="346"/>
      <c r="W192" s="346"/>
      <c r="X192" s="346"/>
    </row>
    <row r="193" spans="1:24" ht="22.5" customHeight="1" x14ac:dyDescent="0.25">
      <c r="A193" s="22">
        <v>173</v>
      </c>
      <c r="B193" s="239"/>
      <c r="C193" s="239"/>
      <c r="D193" s="238"/>
      <c r="E193" s="238"/>
      <c r="F193" s="239"/>
      <c r="G193" s="239"/>
      <c r="H193" s="238"/>
      <c r="I193" s="238"/>
      <c r="J193" s="309">
        <f t="shared" si="4"/>
        <v>0</v>
      </c>
      <c r="K193" s="309"/>
      <c r="L193" s="343"/>
      <c r="M193" s="17"/>
      <c r="N193" s="346"/>
      <c r="O193" s="346"/>
      <c r="P193" s="346"/>
      <c r="Q193" s="346"/>
      <c r="R193" s="346"/>
      <c r="S193" s="346"/>
      <c r="T193" s="346"/>
      <c r="U193" s="346"/>
      <c r="V193" s="346"/>
      <c r="W193" s="346"/>
      <c r="X193" s="346"/>
    </row>
    <row r="194" spans="1:24" ht="22.5" customHeight="1" x14ac:dyDescent="0.25">
      <c r="A194" s="14">
        <v>174</v>
      </c>
      <c r="B194" s="252"/>
      <c r="C194" s="252"/>
      <c r="D194" s="251"/>
      <c r="E194" s="251"/>
      <c r="F194" s="252"/>
      <c r="G194" s="252"/>
      <c r="H194" s="251"/>
      <c r="I194" s="251"/>
      <c r="J194" s="323">
        <f t="shared" si="4"/>
        <v>0</v>
      </c>
      <c r="K194" s="324"/>
      <c r="L194" s="343"/>
      <c r="M194" s="17"/>
      <c r="N194" s="346"/>
      <c r="O194" s="346"/>
      <c r="P194" s="346"/>
      <c r="Q194" s="346"/>
      <c r="R194" s="346"/>
      <c r="S194" s="346"/>
      <c r="T194" s="346"/>
      <c r="U194" s="346"/>
      <c r="V194" s="346"/>
      <c r="W194" s="346"/>
      <c r="X194" s="346"/>
    </row>
    <row r="195" spans="1:24" ht="22.5" customHeight="1" x14ac:dyDescent="0.25">
      <c r="A195" s="22">
        <v>175</v>
      </c>
      <c r="B195" s="239"/>
      <c r="C195" s="239"/>
      <c r="D195" s="238"/>
      <c r="E195" s="238"/>
      <c r="F195" s="239"/>
      <c r="G195" s="239"/>
      <c r="H195" s="238"/>
      <c r="I195" s="238"/>
      <c r="J195" s="309">
        <f t="shared" si="4"/>
        <v>0</v>
      </c>
      <c r="K195" s="309"/>
      <c r="L195" s="343"/>
      <c r="M195" s="17"/>
      <c r="N195" s="346"/>
      <c r="O195" s="346"/>
      <c r="P195" s="346"/>
      <c r="Q195" s="346"/>
      <c r="R195" s="346"/>
      <c r="S195" s="346"/>
      <c r="T195" s="346"/>
      <c r="U195" s="346"/>
      <c r="V195" s="346"/>
      <c r="W195" s="346"/>
      <c r="X195" s="346"/>
    </row>
    <row r="196" spans="1:24" ht="22.5" customHeight="1" x14ac:dyDescent="0.25">
      <c r="A196" s="14">
        <v>176</v>
      </c>
      <c r="B196" s="252"/>
      <c r="C196" s="252"/>
      <c r="D196" s="251"/>
      <c r="E196" s="251"/>
      <c r="F196" s="252"/>
      <c r="G196" s="252"/>
      <c r="H196" s="251"/>
      <c r="I196" s="251"/>
      <c r="J196" s="323">
        <f t="shared" si="4"/>
        <v>0</v>
      </c>
      <c r="K196" s="324"/>
      <c r="L196" s="343"/>
      <c r="M196" s="17"/>
      <c r="N196" s="346"/>
      <c r="O196" s="346"/>
      <c r="P196" s="346"/>
      <c r="Q196" s="346"/>
      <c r="R196" s="346"/>
      <c r="S196" s="346"/>
      <c r="T196" s="346"/>
      <c r="U196" s="346"/>
      <c r="V196" s="346"/>
      <c r="W196" s="346"/>
      <c r="X196" s="346"/>
    </row>
    <row r="197" spans="1:24" ht="22.5" customHeight="1" x14ac:dyDescent="0.25">
      <c r="A197" s="22">
        <v>177</v>
      </c>
      <c r="B197" s="239"/>
      <c r="C197" s="239"/>
      <c r="D197" s="238"/>
      <c r="E197" s="238"/>
      <c r="F197" s="239"/>
      <c r="G197" s="239"/>
      <c r="H197" s="238"/>
      <c r="I197" s="238"/>
      <c r="J197" s="309">
        <f t="shared" si="4"/>
        <v>0</v>
      </c>
      <c r="K197" s="309"/>
      <c r="L197" s="343"/>
      <c r="M197" s="17"/>
      <c r="N197" s="346"/>
      <c r="O197" s="346"/>
      <c r="P197" s="346"/>
      <c r="Q197" s="346"/>
      <c r="R197" s="346"/>
      <c r="S197" s="346"/>
      <c r="T197" s="346"/>
      <c r="U197" s="346"/>
      <c r="V197" s="346"/>
      <c r="W197" s="346"/>
      <c r="X197" s="346"/>
    </row>
    <row r="198" spans="1:24" ht="22.5" customHeight="1" x14ac:dyDescent="0.25">
      <c r="A198" s="14">
        <v>178</v>
      </c>
      <c r="B198" s="252"/>
      <c r="C198" s="252"/>
      <c r="D198" s="251"/>
      <c r="E198" s="251"/>
      <c r="F198" s="252"/>
      <c r="G198" s="252"/>
      <c r="H198" s="251"/>
      <c r="I198" s="251"/>
      <c r="J198" s="323">
        <f t="shared" si="4"/>
        <v>0</v>
      </c>
      <c r="K198" s="324"/>
      <c r="L198" s="343"/>
      <c r="M198" s="17"/>
      <c r="N198" s="346"/>
      <c r="O198" s="346"/>
      <c r="P198" s="346"/>
      <c r="Q198" s="346"/>
      <c r="R198" s="346"/>
      <c r="S198" s="346"/>
      <c r="T198" s="346"/>
      <c r="U198" s="346"/>
      <c r="V198" s="346"/>
      <c r="W198" s="346"/>
      <c r="X198" s="346"/>
    </row>
    <row r="199" spans="1:24" ht="22.5" customHeight="1" x14ac:dyDescent="0.25">
      <c r="A199" s="22">
        <v>179</v>
      </c>
      <c r="B199" s="239"/>
      <c r="C199" s="239"/>
      <c r="D199" s="238"/>
      <c r="E199" s="238"/>
      <c r="F199" s="239"/>
      <c r="G199" s="239"/>
      <c r="H199" s="238"/>
      <c r="I199" s="238"/>
      <c r="J199" s="309">
        <f t="shared" si="4"/>
        <v>0</v>
      </c>
      <c r="K199" s="309"/>
      <c r="L199" s="343"/>
      <c r="M199" s="17"/>
      <c r="N199" s="346"/>
      <c r="O199" s="346"/>
      <c r="P199" s="346"/>
      <c r="Q199" s="346"/>
      <c r="R199" s="346"/>
      <c r="S199" s="346"/>
      <c r="T199" s="346"/>
      <c r="U199" s="346"/>
      <c r="V199" s="346"/>
      <c r="W199" s="346"/>
      <c r="X199" s="346"/>
    </row>
    <row r="200" spans="1:24" ht="22.5" customHeight="1" x14ac:dyDescent="0.25">
      <c r="A200" s="14">
        <v>180</v>
      </c>
      <c r="B200" s="252"/>
      <c r="C200" s="252"/>
      <c r="D200" s="251"/>
      <c r="E200" s="251"/>
      <c r="F200" s="252"/>
      <c r="G200" s="252"/>
      <c r="H200" s="251"/>
      <c r="I200" s="251"/>
      <c r="J200" s="323">
        <f t="shared" si="4"/>
        <v>0</v>
      </c>
      <c r="K200" s="324"/>
      <c r="L200" s="343"/>
      <c r="M200" s="17"/>
      <c r="N200" s="346"/>
      <c r="O200" s="346"/>
      <c r="P200" s="346"/>
      <c r="Q200" s="346"/>
      <c r="R200" s="346"/>
      <c r="S200" s="346"/>
      <c r="T200" s="346"/>
      <c r="U200" s="346"/>
      <c r="V200" s="346"/>
      <c r="W200" s="346"/>
      <c r="X200" s="346"/>
    </row>
    <row r="201" spans="1:24" ht="22.5" customHeight="1" x14ac:dyDescent="0.25">
      <c r="A201" s="22">
        <v>181</v>
      </c>
      <c r="B201" s="239"/>
      <c r="C201" s="239"/>
      <c r="D201" s="238"/>
      <c r="E201" s="238"/>
      <c r="F201" s="239"/>
      <c r="G201" s="239"/>
      <c r="H201" s="238"/>
      <c r="I201" s="238"/>
      <c r="J201" s="309">
        <f t="shared" si="4"/>
        <v>0</v>
      </c>
      <c r="K201" s="309"/>
      <c r="L201" s="343"/>
      <c r="M201" s="17"/>
      <c r="N201" s="346"/>
      <c r="O201" s="346"/>
      <c r="P201" s="346"/>
      <c r="Q201" s="346"/>
      <c r="R201" s="346"/>
      <c r="S201" s="346"/>
      <c r="T201" s="346"/>
      <c r="U201" s="346"/>
      <c r="V201" s="346"/>
      <c r="W201" s="346"/>
      <c r="X201" s="346"/>
    </row>
    <row r="202" spans="1:24" ht="22.5" customHeight="1" x14ac:dyDescent="0.25">
      <c r="A202" s="14">
        <v>182</v>
      </c>
      <c r="B202" s="252"/>
      <c r="C202" s="252"/>
      <c r="D202" s="251"/>
      <c r="E202" s="251"/>
      <c r="F202" s="252"/>
      <c r="G202" s="252"/>
      <c r="H202" s="251"/>
      <c r="I202" s="251"/>
      <c r="J202" s="323">
        <f t="shared" si="4"/>
        <v>0</v>
      </c>
      <c r="K202" s="324"/>
      <c r="L202" s="343"/>
      <c r="M202" s="17"/>
      <c r="N202" s="346"/>
      <c r="O202" s="346"/>
      <c r="P202" s="346"/>
      <c r="Q202" s="346"/>
      <c r="R202" s="346"/>
      <c r="S202" s="346"/>
      <c r="T202" s="346"/>
      <c r="U202" s="346"/>
      <c r="V202" s="346"/>
      <c r="W202" s="346"/>
      <c r="X202" s="346"/>
    </row>
    <row r="203" spans="1:24" ht="22.5" customHeight="1" x14ac:dyDescent="0.25">
      <c r="A203" s="22">
        <v>183</v>
      </c>
      <c r="B203" s="239"/>
      <c r="C203" s="239"/>
      <c r="D203" s="238"/>
      <c r="E203" s="238"/>
      <c r="F203" s="239"/>
      <c r="G203" s="239"/>
      <c r="H203" s="238"/>
      <c r="I203" s="238"/>
      <c r="J203" s="309">
        <f t="shared" si="4"/>
        <v>0</v>
      </c>
      <c r="K203" s="309"/>
      <c r="L203" s="343"/>
      <c r="M203" s="17"/>
      <c r="N203" s="346"/>
      <c r="O203" s="346"/>
      <c r="P203" s="346"/>
      <c r="Q203" s="346"/>
      <c r="R203" s="346"/>
      <c r="S203" s="346"/>
      <c r="T203" s="346"/>
      <c r="U203" s="346"/>
      <c r="V203" s="346"/>
      <c r="W203" s="346"/>
      <c r="X203" s="346"/>
    </row>
    <row r="204" spans="1:24" ht="22.5" customHeight="1" x14ac:dyDescent="0.25">
      <c r="A204" s="14">
        <v>184</v>
      </c>
      <c r="B204" s="252"/>
      <c r="C204" s="252"/>
      <c r="D204" s="251"/>
      <c r="E204" s="251"/>
      <c r="F204" s="252"/>
      <c r="G204" s="252"/>
      <c r="H204" s="251"/>
      <c r="I204" s="251"/>
      <c r="J204" s="323">
        <f t="shared" si="4"/>
        <v>0</v>
      </c>
      <c r="K204" s="324"/>
      <c r="L204" s="343"/>
      <c r="M204" s="17"/>
      <c r="N204" s="346"/>
      <c r="O204" s="346"/>
      <c r="P204" s="346"/>
      <c r="Q204" s="346"/>
      <c r="R204" s="346"/>
      <c r="S204" s="346"/>
      <c r="T204" s="346"/>
      <c r="U204" s="346"/>
      <c r="V204" s="346"/>
      <c r="W204" s="346"/>
      <c r="X204" s="346"/>
    </row>
    <row r="205" spans="1:24" ht="22.5" customHeight="1" x14ac:dyDescent="0.25">
      <c r="A205" s="22">
        <v>185</v>
      </c>
      <c r="B205" s="239"/>
      <c r="C205" s="239"/>
      <c r="D205" s="238"/>
      <c r="E205" s="238"/>
      <c r="F205" s="239"/>
      <c r="G205" s="239"/>
      <c r="H205" s="238"/>
      <c r="I205" s="238"/>
      <c r="J205" s="309">
        <f t="shared" si="4"/>
        <v>0</v>
      </c>
      <c r="K205" s="309"/>
      <c r="L205" s="343"/>
      <c r="M205" s="17"/>
      <c r="N205" s="346"/>
      <c r="O205" s="346"/>
      <c r="P205" s="346"/>
      <c r="Q205" s="346"/>
      <c r="R205" s="346"/>
      <c r="S205" s="346"/>
      <c r="T205" s="346"/>
      <c r="U205" s="346"/>
      <c r="V205" s="346"/>
      <c r="W205" s="346"/>
      <c r="X205" s="346"/>
    </row>
    <row r="206" spans="1:24" ht="22.5" customHeight="1" x14ac:dyDescent="0.25">
      <c r="A206" s="14">
        <v>186</v>
      </c>
      <c r="B206" s="252"/>
      <c r="C206" s="252"/>
      <c r="D206" s="251"/>
      <c r="E206" s="251"/>
      <c r="F206" s="252"/>
      <c r="G206" s="252"/>
      <c r="H206" s="251"/>
      <c r="I206" s="251"/>
      <c r="J206" s="323">
        <f t="shared" si="4"/>
        <v>0</v>
      </c>
      <c r="K206" s="324"/>
      <c r="L206" s="343"/>
      <c r="M206" s="17"/>
      <c r="N206" s="346"/>
      <c r="O206" s="346"/>
      <c r="P206" s="346"/>
      <c r="Q206" s="346"/>
      <c r="R206" s="346"/>
      <c r="S206" s="346"/>
      <c r="T206" s="346"/>
      <c r="U206" s="346"/>
      <c r="V206" s="346"/>
      <c r="W206" s="346"/>
      <c r="X206" s="346"/>
    </row>
    <row r="207" spans="1:24" ht="22.5" customHeight="1" x14ac:dyDescent="0.25">
      <c r="A207" s="22">
        <v>187</v>
      </c>
      <c r="B207" s="239"/>
      <c r="C207" s="239"/>
      <c r="D207" s="238"/>
      <c r="E207" s="238"/>
      <c r="F207" s="239"/>
      <c r="G207" s="239"/>
      <c r="H207" s="238"/>
      <c r="I207" s="238"/>
      <c r="J207" s="309">
        <f t="shared" si="4"/>
        <v>0</v>
      </c>
      <c r="K207" s="309"/>
      <c r="L207" s="343"/>
      <c r="M207" s="17"/>
      <c r="N207" s="346"/>
      <c r="O207" s="346"/>
      <c r="P207" s="346"/>
      <c r="Q207" s="346"/>
      <c r="R207" s="346"/>
      <c r="S207" s="346"/>
      <c r="T207" s="346"/>
      <c r="U207" s="346"/>
      <c r="V207" s="346"/>
      <c r="W207" s="346"/>
      <c r="X207" s="346"/>
    </row>
    <row r="208" spans="1:24" ht="22.5" customHeight="1" x14ac:dyDescent="0.25">
      <c r="A208" s="14">
        <v>188</v>
      </c>
      <c r="B208" s="252"/>
      <c r="C208" s="252"/>
      <c r="D208" s="251"/>
      <c r="E208" s="251"/>
      <c r="F208" s="252"/>
      <c r="G208" s="252"/>
      <c r="H208" s="251"/>
      <c r="I208" s="251"/>
      <c r="J208" s="323">
        <f t="shared" si="4"/>
        <v>0</v>
      </c>
      <c r="K208" s="324"/>
      <c r="L208" s="343"/>
      <c r="M208" s="17"/>
      <c r="N208" s="346"/>
      <c r="O208" s="346"/>
      <c r="P208" s="346"/>
      <c r="Q208" s="346"/>
      <c r="R208" s="346"/>
      <c r="S208" s="346"/>
      <c r="T208" s="346"/>
      <c r="U208" s="346"/>
      <c r="V208" s="346"/>
      <c r="W208" s="346"/>
      <c r="X208" s="346"/>
    </row>
    <row r="209" spans="1:24" ht="22.5" customHeight="1" x14ac:dyDescent="0.25">
      <c r="A209" s="22">
        <v>189</v>
      </c>
      <c r="B209" s="239"/>
      <c r="C209" s="239"/>
      <c r="D209" s="238"/>
      <c r="E209" s="238"/>
      <c r="F209" s="239"/>
      <c r="G209" s="239"/>
      <c r="H209" s="238"/>
      <c r="I209" s="238"/>
      <c r="J209" s="309">
        <f t="shared" si="4"/>
        <v>0</v>
      </c>
      <c r="K209" s="309"/>
      <c r="L209" s="343"/>
      <c r="M209" s="17"/>
      <c r="N209" s="346"/>
      <c r="O209" s="346"/>
      <c r="P209" s="346"/>
      <c r="Q209" s="346"/>
      <c r="R209" s="346"/>
      <c r="S209" s="346"/>
      <c r="T209" s="346"/>
      <c r="U209" s="346"/>
      <c r="V209" s="346"/>
      <c r="W209" s="346"/>
      <c r="X209" s="346"/>
    </row>
    <row r="210" spans="1:24" ht="22.5" customHeight="1" x14ac:dyDescent="0.25">
      <c r="A210" s="14">
        <v>190</v>
      </c>
      <c r="B210" s="252"/>
      <c r="C210" s="252"/>
      <c r="D210" s="251"/>
      <c r="E210" s="251"/>
      <c r="F210" s="252"/>
      <c r="G210" s="252"/>
      <c r="H210" s="251"/>
      <c r="I210" s="251"/>
      <c r="J210" s="323">
        <f t="shared" si="4"/>
        <v>0</v>
      </c>
      <c r="K210" s="324"/>
      <c r="L210" s="343"/>
      <c r="M210" s="17"/>
      <c r="N210" s="346"/>
      <c r="O210" s="346"/>
      <c r="P210" s="346"/>
      <c r="Q210" s="346"/>
      <c r="R210" s="346"/>
      <c r="S210" s="346"/>
      <c r="T210" s="346"/>
      <c r="U210" s="346"/>
      <c r="V210" s="346"/>
      <c r="W210" s="346"/>
      <c r="X210" s="346"/>
    </row>
    <row r="211" spans="1:24" ht="22.5" customHeight="1" x14ac:dyDescent="0.25">
      <c r="A211" s="22">
        <v>191</v>
      </c>
      <c r="B211" s="239"/>
      <c r="C211" s="239"/>
      <c r="D211" s="238"/>
      <c r="E211" s="238"/>
      <c r="F211" s="239"/>
      <c r="G211" s="239"/>
      <c r="H211" s="238"/>
      <c r="I211" s="238"/>
      <c r="J211" s="309">
        <f t="shared" si="4"/>
        <v>0</v>
      </c>
      <c r="K211" s="309"/>
      <c r="L211" s="343"/>
      <c r="M211" s="17"/>
      <c r="N211" s="346"/>
      <c r="O211" s="346"/>
      <c r="P211" s="346"/>
      <c r="Q211" s="346"/>
      <c r="R211" s="346"/>
      <c r="S211" s="346"/>
      <c r="T211" s="346"/>
      <c r="U211" s="346"/>
      <c r="V211" s="346"/>
      <c r="W211" s="346"/>
      <c r="X211" s="346"/>
    </row>
    <row r="212" spans="1:24" ht="22.5" customHeight="1" x14ac:dyDescent="0.25">
      <c r="A212" s="14">
        <v>192</v>
      </c>
      <c r="B212" s="252"/>
      <c r="C212" s="252"/>
      <c r="D212" s="251"/>
      <c r="E212" s="251"/>
      <c r="F212" s="252"/>
      <c r="G212" s="252"/>
      <c r="H212" s="251"/>
      <c r="I212" s="251"/>
      <c r="J212" s="323">
        <f t="shared" si="4"/>
        <v>0</v>
      </c>
      <c r="K212" s="324"/>
      <c r="L212" s="343"/>
      <c r="M212" s="17"/>
      <c r="N212" s="346"/>
      <c r="O212" s="346"/>
      <c r="P212" s="346"/>
      <c r="Q212" s="346"/>
      <c r="R212" s="346"/>
      <c r="S212" s="346"/>
      <c r="T212" s="346"/>
      <c r="U212" s="346"/>
      <c r="V212" s="346"/>
      <c r="W212" s="346"/>
      <c r="X212" s="346"/>
    </row>
    <row r="213" spans="1:24" ht="22.5" customHeight="1" x14ac:dyDescent="0.25">
      <c r="A213" s="22">
        <v>193</v>
      </c>
      <c r="B213" s="239"/>
      <c r="C213" s="239"/>
      <c r="D213" s="238"/>
      <c r="E213" s="238"/>
      <c r="F213" s="239"/>
      <c r="G213" s="239"/>
      <c r="H213" s="238"/>
      <c r="I213" s="238"/>
      <c r="J213" s="309">
        <f t="shared" si="4"/>
        <v>0</v>
      </c>
      <c r="K213" s="309"/>
      <c r="L213" s="343"/>
      <c r="M213" s="17"/>
      <c r="N213" s="346"/>
      <c r="O213" s="346"/>
      <c r="P213" s="346"/>
      <c r="Q213" s="346"/>
      <c r="R213" s="346"/>
      <c r="S213" s="346"/>
      <c r="T213" s="346"/>
      <c r="U213" s="346"/>
      <c r="V213" s="346"/>
      <c r="W213" s="346"/>
      <c r="X213" s="346"/>
    </row>
    <row r="214" spans="1:24" ht="22.5" customHeight="1" x14ac:dyDescent="0.25">
      <c r="A214" s="14">
        <v>194</v>
      </c>
      <c r="B214" s="252"/>
      <c r="C214" s="252"/>
      <c r="D214" s="251"/>
      <c r="E214" s="251"/>
      <c r="F214" s="252"/>
      <c r="G214" s="252"/>
      <c r="H214" s="251"/>
      <c r="I214" s="251"/>
      <c r="J214" s="323">
        <f t="shared" ref="J214:J220" si="6">D214*F214+H214</f>
        <v>0</v>
      </c>
      <c r="K214" s="324"/>
      <c r="L214" s="343"/>
      <c r="M214" s="17"/>
      <c r="N214" s="346"/>
      <c r="O214" s="346"/>
      <c r="P214" s="346"/>
      <c r="Q214" s="346"/>
      <c r="R214" s="346"/>
      <c r="S214" s="346"/>
      <c r="T214" s="346"/>
      <c r="U214" s="346"/>
      <c r="V214" s="346"/>
      <c r="W214" s="346"/>
      <c r="X214" s="346"/>
    </row>
    <row r="215" spans="1:24" ht="22.5" customHeight="1" x14ac:dyDescent="0.25">
      <c r="A215" s="22">
        <v>195</v>
      </c>
      <c r="B215" s="239"/>
      <c r="C215" s="239"/>
      <c r="D215" s="238"/>
      <c r="E215" s="238"/>
      <c r="F215" s="239"/>
      <c r="G215" s="239"/>
      <c r="H215" s="238"/>
      <c r="I215" s="238"/>
      <c r="J215" s="309">
        <f t="shared" si="6"/>
        <v>0</v>
      </c>
      <c r="K215" s="309"/>
      <c r="L215" s="343"/>
      <c r="M215" s="17"/>
      <c r="N215" s="346"/>
      <c r="O215" s="346"/>
      <c r="P215" s="346"/>
      <c r="Q215" s="346"/>
      <c r="R215" s="346"/>
      <c r="S215" s="346"/>
      <c r="T215" s="346"/>
      <c r="U215" s="346"/>
      <c r="V215" s="346"/>
      <c r="W215" s="346"/>
      <c r="X215" s="346"/>
    </row>
    <row r="216" spans="1:24" ht="22.5" customHeight="1" x14ac:dyDescent="0.25">
      <c r="A216" s="14">
        <v>196</v>
      </c>
      <c r="B216" s="252"/>
      <c r="C216" s="252"/>
      <c r="D216" s="251"/>
      <c r="E216" s="251"/>
      <c r="F216" s="252"/>
      <c r="G216" s="252"/>
      <c r="H216" s="251"/>
      <c r="I216" s="251"/>
      <c r="J216" s="323">
        <f t="shared" si="6"/>
        <v>0</v>
      </c>
      <c r="K216" s="324"/>
      <c r="L216" s="343"/>
      <c r="M216" s="17"/>
      <c r="N216" s="346"/>
      <c r="O216" s="346"/>
      <c r="P216" s="346"/>
      <c r="Q216" s="346"/>
      <c r="R216" s="346"/>
      <c r="S216" s="346"/>
      <c r="T216" s="346"/>
      <c r="U216" s="346"/>
      <c r="V216" s="346"/>
      <c r="W216" s="346"/>
      <c r="X216" s="346"/>
    </row>
    <row r="217" spans="1:24" ht="22.5" customHeight="1" x14ac:dyDescent="0.25">
      <c r="A217" s="22">
        <v>197</v>
      </c>
      <c r="B217" s="239"/>
      <c r="C217" s="239"/>
      <c r="D217" s="238"/>
      <c r="E217" s="238"/>
      <c r="F217" s="239"/>
      <c r="G217" s="239"/>
      <c r="H217" s="238"/>
      <c r="I217" s="238"/>
      <c r="J217" s="309">
        <f t="shared" si="6"/>
        <v>0</v>
      </c>
      <c r="K217" s="309"/>
      <c r="L217" s="343"/>
      <c r="M217" s="17"/>
      <c r="N217" s="346"/>
      <c r="O217" s="346"/>
      <c r="P217" s="346"/>
      <c r="Q217" s="346"/>
      <c r="R217" s="346"/>
      <c r="S217" s="346"/>
      <c r="T217" s="346"/>
      <c r="U217" s="346"/>
      <c r="V217" s="346"/>
      <c r="W217" s="346"/>
      <c r="X217" s="346"/>
    </row>
    <row r="218" spans="1:24" ht="22.5" customHeight="1" x14ac:dyDescent="0.25">
      <c r="A218" s="14">
        <v>198</v>
      </c>
      <c r="B218" s="252"/>
      <c r="C218" s="252"/>
      <c r="D218" s="251"/>
      <c r="E218" s="251"/>
      <c r="F218" s="252"/>
      <c r="G218" s="252"/>
      <c r="H218" s="251"/>
      <c r="I218" s="251"/>
      <c r="J218" s="323">
        <f t="shared" si="6"/>
        <v>0</v>
      </c>
      <c r="K218" s="324"/>
      <c r="L218" s="343"/>
      <c r="M218" s="17"/>
      <c r="N218" s="346"/>
      <c r="O218" s="346"/>
      <c r="P218" s="346"/>
      <c r="Q218" s="346"/>
      <c r="R218" s="346"/>
      <c r="S218" s="346"/>
      <c r="T218" s="346"/>
      <c r="U218" s="346"/>
      <c r="V218" s="346"/>
      <c r="W218" s="346"/>
      <c r="X218" s="346"/>
    </row>
    <row r="219" spans="1:24" ht="22.5" customHeight="1" x14ac:dyDescent="0.25">
      <c r="A219" s="22">
        <v>199</v>
      </c>
      <c r="B219" s="239"/>
      <c r="C219" s="239"/>
      <c r="D219" s="238"/>
      <c r="E219" s="238"/>
      <c r="F219" s="239"/>
      <c r="G219" s="239"/>
      <c r="H219" s="238"/>
      <c r="I219" s="238"/>
      <c r="J219" s="309">
        <f t="shared" si="6"/>
        <v>0</v>
      </c>
      <c r="K219" s="309"/>
      <c r="L219" s="343"/>
      <c r="M219" s="17"/>
      <c r="N219" s="346"/>
      <c r="O219" s="346"/>
      <c r="P219" s="346"/>
      <c r="Q219" s="346"/>
      <c r="R219" s="346"/>
      <c r="S219" s="346"/>
      <c r="T219" s="346"/>
      <c r="U219" s="346"/>
      <c r="V219" s="346"/>
      <c r="W219" s="346"/>
      <c r="X219" s="346"/>
    </row>
    <row r="220" spans="1:24" ht="22.5" customHeight="1" x14ac:dyDescent="0.25">
      <c r="A220" s="14">
        <v>200</v>
      </c>
      <c r="B220" s="252"/>
      <c r="C220" s="252"/>
      <c r="D220" s="251"/>
      <c r="E220" s="251"/>
      <c r="F220" s="252"/>
      <c r="G220" s="252"/>
      <c r="H220" s="251"/>
      <c r="I220" s="251"/>
      <c r="J220" s="323">
        <f t="shared" si="6"/>
        <v>0</v>
      </c>
      <c r="K220" s="324"/>
      <c r="L220" s="343"/>
      <c r="M220" s="17"/>
      <c r="N220" s="346"/>
      <c r="O220" s="346"/>
      <c r="P220" s="346"/>
      <c r="Q220" s="346"/>
      <c r="R220" s="346"/>
      <c r="S220" s="346"/>
      <c r="T220" s="346"/>
      <c r="U220" s="346"/>
      <c r="V220" s="346"/>
      <c r="W220" s="346"/>
      <c r="X220" s="346"/>
    </row>
    <row r="221" spans="1:24" ht="22.5" customHeight="1" x14ac:dyDescent="0.25">
      <c r="B221" s="347"/>
      <c r="C221" s="347"/>
      <c r="D221" s="347"/>
      <c r="E221" s="347"/>
      <c r="F221" s="347"/>
      <c r="G221" s="347"/>
      <c r="H221" s="347"/>
      <c r="I221" s="347"/>
      <c r="J221" s="347"/>
      <c r="K221" s="347"/>
      <c r="N221" s="347"/>
      <c r="O221" s="347"/>
      <c r="P221" s="347"/>
      <c r="Q221" s="347"/>
      <c r="R221" s="347"/>
      <c r="S221" s="347"/>
      <c r="T221" s="347"/>
      <c r="U221" s="347"/>
      <c r="V221" s="347"/>
      <c r="W221" s="347"/>
      <c r="X221" s="347"/>
    </row>
    <row r="222" spans="1:24" ht="22.5" customHeight="1" x14ac:dyDescent="0.25">
      <c r="B222" s="347"/>
      <c r="C222" s="347"/>
      <c r="D222" s="347"/>
      <c r="E222" s="347"/>
      <c r="F222" s="347"/>
      <c r="G222" s="347"/>
      <c r="H222" s="347"/>
      <c r="I222" s="347"/>
      <c r="J222" s="347"/>
      <c r="K222" s="347"/>
      <c r="N222" s="347"/>
      <c r="O222" s="347"/>
      <c r="P222" s="347"/>
      <c r="Q222" s="347"/>
      <c r="R222" s="347"/>
      <c r="S222" s="347"/>
      <c r="T222" s="347"/>
      <c r="U222" s="347"/>
      <c r="V222" s="347"/>
      <c r="W222" s="347"/>
      <c r="X222" s="347"/>
    </row>
    <row r="223" spans="1:24" ht="22.5" customHeight="1" x14ac:dyDescent="0.25">
      <c r="B223" s="347"/>
      <c r="C223" s="347"/>
      <c r="D223" s="347"/>
      <c r="E223" s="347"/>
      <c r="F223" s="347"/>
      <c r="G223" s="347"/>
      <c r="H223" s="347"/>
      <c r="I223" s="347"/>
      <c r="J223" s="347"/>
      <c r="K223" s="347"/>
      <c r="N223" s="347"/>
      <c r="O223" s="347"/>
      <c r="P223" s="347"/>
      <c r="Q223" s="347"/>
      <c r="R223" s="347"/>
      <c r="S223" s="347"/>
      <c r="T223" s="347"/>
      <c r="U223" s="347"/>
      <c r="V223" s="347"/>
      <c r="W223" s="347"/>
      <c r="X223" s="347"/>
    </row>
    <row r="224" spans="1:24" ht="22.5" customHeight="1" x14ac:dyDescent="0.25">
      <c r="B224" s="347"/>
      <c r="C224" s="347"/>
      <c r="D224" s="347"/>
      <c r="E224" s="347"/>
      <c r="F224" s="347"/>
      <c r="G224" s="347"/>
      <c r="H224" s="347"/>
      <c r="I224" s="347"/>
      <c r="J224" s="347"/>
      <c r="K224" s="347"/>
      <c r="N224" s="347"/>
      <c r="O224" s="347"/>
      <c r="P224" s="347"/>
      <c r="Q224" s="347"/>
      <c r="R224" s="347"/>
      <c r="S224" s="347"/>
      <c r="T224" s="347"/>
      <c r="U224" s="347"/>
      <c r="V224" s="347"/>
      <c r="W224" s="347"/>
      <c r="X224" s="347"/>
    </row>
    <row r="225" spans="2:24" ht="22.5" customHeight="1" x14ac:dyDescent="0.25">
      <c r="B225" s="347"/>
      <c r="C225" s="347"/>
      <c r="D225" s="347"/>
      <c r="E225" s="347"/>
      <c r="F225" s="347"/>
      <c r="G225" s="347"/>
      <c r="H225" s="347"/>
      <c r="I225" s="347"/>
      <c r="J225" s="347"/>
      <c r="K225" s="347"/>
      <c r="N225" s="347"/>
      <c r="O225" s="347"/>
      <c r="P225" s="347"/>
      <c r="Q225" s="347"/>
      <c r="R225" s="347"/>
      <c r="S225" s="347"/>
      <c r="T225" s="347"/>
      <c r="U225" s="347"/>
      <c r="V225" s="347"/>
      <c r="W225" s="347"/>
      <c r="X225" s="347"/>
    </row>
    <row r="226" spans="2:24" ht="22.5" customHeight="1" x14ac:dyDescent="0.25">
      <c r="B226" s="347"/>
      <c r="C226" s="347"/>
      <c r="D226" s="347"/>
      <c r="E226" s="347"/>
      <c r="F226" s="347"/>
      <c r="G226" s="347"/>
      <c r="H226" s="347"/>
      <c r="I226" s="347"/>
      <c r="J226" s="347"/>
      <c r="K226" s="347"/>
      <c r="N226" s="347"/>
      <c r="O226" s="347"/>
      <c r="P226" s="347"/>
      <c r="Q226" s="347"/>
      <c r="R226" s="347"/>
      <c r="S226" s="347"/>
      <c r="T226" s="347"/>
      <c r="U226" s="347"/>
      <c r="V226" s="347"/>
      <c r="W226" s="347"/>
      <c r="X226" s="347"/>
    </row>
    <row r="227" spans="2:24" ht="22.5" customHeight="1" x14ac:dyDescent="0.25">
      <c r="B227" s="347"/>
      <c r="C227" s="347"/>
      <c r="D227" s="347"/>
      <c r="E227" s="347"/>
      <c r="F227" s="347"/>
      <c r="G227" s="347"/>
      <c r="H227" s="347"/>
      <c r="I227" s="347"/>
      <c r="J227" s="347"/>
      <c r="K227" s="347"/>
      <c r="N227" s="347"/>
      <c r="O227" s="347"/>
      <c r="P227" s="347"/>
      <c r="Q227" s="347"/>
      <c r="R227" s="347"/>
      <c r="S227" s="347"/>
      <c r="T227" s="347"/>
      <c r="U227" s="347"/>
      <c r="V227" s="347"/>
      <c r="W227" s="347"/>
      <c r="X227" s="347"/>
    </row>
    <row r="228" spans="2:24" ht="22.5" customHeight="1" x14ac:dyDescent="0.25">
      <c r="B228" s="347"/>
      <c r="C228" s="347"/>
      <c r="D228" s="347"/>
      <c r="E228" s="347"/>
      <c r="F228" s="347"/>
      <c r="G228" s="347"/>
      <c r="H228" s="347"/>
      <c r="I228" s="347"/>
      <c r="J228" s="347"/>
      <c r="K228" s="347"/>
      <c r="N228" s="347"/>
      <c r="O228" s="347"/>
      <c r="P228" s="347"/>
      <c r="Q228" s="347"/>
      <c r="R228" s="347"/>
      <c r="S228" s="347"/>
      <c r="T228" s="347"/>
      <c r="U228" s="347"/>
      <c r="V228" s="347"/>
      <c r="W228" s="347"/>
      <c r="X228" s="347"/>
    </row>
    <row r="229" spans="2:24" ht="22.5" customHeight="1" x14ac:dyDescent="0.25">
      <c r="B229" s="347"/>
      <c r="C229" s="347"/>
      <c r="D229" s="347"/>
      <c r="E229" s="347"/>
      <c r="F229" s="347"/>
      <c r="G229" s="347"/>
      <c r="H229" s="347"/>
      <c r="I229" s="347"/>
      <c r="J229" s="347"/>
      <c r="K229" s="347"/>
      <c r="N229" s="347"/>
      <c r="O229" s="347"/>
      <c r="P229" s="347"/>
      <c r="Q229" s="347"/>
      <c r="R229" s="347"/>
      <c r="S229" s="347"/>
      <c r="T229" s="347"/>
      <c r="U229" s="347"/>
      <c r="V229" s="347"/>
      <c r="W229" s="347"/>
      <c r="X229" s="347"/>
    </row>
    <row r="230" spans="2:24" ht="22.5" customHeight="1" x14ac:dyDescent="0.25">
      <c r="B230" s="347"/>
      <c r="C230" s="347"/>
      <c r="D230" s="347"/>
      <c r="E230" s="347"/>
      <c r="F230" s="347"/>
      <c r="G230" s="347"/>
      <c r="H230" s="347"/>
      <c r="I230" s="347"/>
      <c r="J230" s="347"/>
      <c r="K230" s="347"/>
      <c r="N230" s="347"/>
      <c r="O230" s="347"/>
      <c r="P230" s="347"/>
      <c r="Q230" s="347"/>
      <c r="R230" s="347"/>
      <c r="S230" s="347"/>
      <c r="T230" s="347"/>
      <c r="U230" s="347"/>
      <c r="V230" s="347"/>
      <c r="W230" s="347"/>
      <c r="X230" s="347"/>
    </row>
    <row r="231" spans="2:24" ht="22.5" customHeight="1" x14ac:dyDescent="0.25">
      <c r="B231" s="347"/>
      <c r="C231" s="347"/>
      <c r="D231" s="347"/>
      <c r="E231" s="347"/>
      <c r="F231" s="347"/>
      <c r="G231" s="347"/>
      <c r="H231" s="347"/>
      <c r="I231" s="347"/>
      <c r="J231" s="347"/>
      <c r="K231" s="347"/>
      <c r="N231" s="347"/>
      <c r="O231" s="347"/>
      <c r="P231" s="347"/>
      <c r="Q231" s="347"/>
      <c r="R231" s="347"/>
      <c r="S231" s="347"/>
      <c r="T231" s="347"/>
      <c r="U231" s="347"/>
      <c r="V231" s="347"/>
      <c r="W231" s="347"/>
      <c r="X231" s="347"/>
    </row>
    <row r="232" spans="2:24" ht="22.5" customHeight="1" x14ac:dyDescent="0.25">
      <c r="B232" s="347"/>
      <c r="C232" s="347"/>
      <c r="D232" s="347"/>
      <c r="E232" s="347"/>
      <c r="F232" s="347"/>
      <c r="G232" s="347"/>
      <c r="H232" s="347"/>
      <c r="I232" s="347"/>
      <c r="J232" s="347"/>
      <c r="K232" s="347"/>
      <c r="N232" s="347"/>
      <c r="O232" s="347"/>
      <c r="P232" s="347"/>
      <c r="Q232" s="347"/>
      <c r="R232" s="347"/>
      <c r="S232" s="347"/>
      <c r="T232" s="347"/>
      <c r="U232" s="347"/>
      <c r="V232" s="347"/>
      <c r="W232" s="347"/>
      <c r="X232" s="347"/>
    </row>
    <row r="233" spans="2:24" ht="22.5" customHeight="1" x14ac:dyDescent="0.25">
      <c r="B233" s="347"/>
      <c r="C233" s="347"/>
      <c r="D233" s="347"/>
      <c r="E233" s="347"/>
      <c r="F233" s="347"/>
      <c r="G233" s="347"/>
      <c r="H233" s="347"/>
      <c r="I233" s="347"/>
      <c r="J233" s="347"/>
      <c r="K233" s="347"/>
      <c r="N233" s="347"/>
      <c r="O233" s="347"/>
      <c r="P233" s="347"/>
      <c r="Q233" s="347"/>
      <c r="R233" s="347"/>
      <c r="S233" s="347"/>
      <c r="T233" s="347"/>
      <c r="U233" s="347"/>
      <c r="V233" s="347"/>
      <c r="W233" s="347"/>
      <c r="X233" s="347"/>
    </row>
    <row r="234" spans="2:24" ht="22.5" customHeight="1" x14ac:dyDescent="0.25">
      <c r="B234" s="347"/>
      <c r="C234" s="347"/>
      <c r="D234" s="347"/>
      <c r="E234" s="347"/>
      <c r="F234" s="347"/>
      <c r="G234" s="347"/>
      <c r="H234" s="347"/>
      <c r="I234" s="347"/>
      <c r="J234" s="347"/>
      <c r="K234" s="347"/>
      <c r="N234" s="347"/>
      <c r="O234" s="347"/>
      <c r="P234" s="347"/>
      <c r="Q234" s="347"/>
      <c r="R234" s="347"/>
      <c r="S234" s="347"/>
      <c r="T234" s="347"/>
      <c r="U234" s="347"/>
      <c r="V234" s="347"/>
      <c r="W234" s="347"/>
      <c r="X234" s="347"/>
    </row>
    <row r="235" spans="2:24" ht="22.5" customHeight="1" x14ac:dyDescent="0.25">
      <c r="B235" s="347"/>
      <c r="C235" s="347"/>
      <c r="D235" s="347"/>
      <c r="E235" s="347"/>
      <c r="F235" s="347"/>
      <c r="G235" s="347"/>
      <c r="H235" s="347"/>
      <c r="I235" s="347"/>
      <c r="J235" s="347"/>
      <c r="K235" s="347"/>
      <c r="N235" s="347"/>
      <c r="O235" s="347"/>
      <c r="P235" s="347"/>
      <c r="Q235" s="347"/>
      <c r="R235" s="347"/>
      <c r="S235" s="347"/>
      <c r="T235" s="347"/>
      <c r="U235" s="347"/>
      <c r="V235" s="347"/>
      <c r="W235" s="347"/>
      <c r="X235" s="347"/>
    </row>
    <row r="236" spans="2:24" ht="22.5" customHeight="1" x14ac:dyDescent="0.25">
      <c r="B236" s="347"/>
      <c r="C236" s="347"/>
      <c r="D236" s="347"/>
      <c r="E236" s="347"/>
      <c r="F236" s="347"/>
      <c r="G236" s="347"/>
      <c r="H236" s="347"/>
      <c r="I236" s="347"/>
      <c r="J236" s="347"/>
      <c r="K236" s="347"/>
      <c r="N236" s="347"/>
      <c r="O236" s="347"/>
      <c r="P236" s="347"/>
      <c r="Q236" s="347"/>
      <c r="R236" s="347"/>
      <c r="S236" s="347"/>
      <c r="T236" s="347"/>
      <c r="U236" s="347"/>
      <c r="V236" s="347"/>
      <c r="W236" s="347"/>
      <c r="X236" s="347"/>
    </row>
    <row r="237" spans="2:24" ht="22.5" customHeight="1" x14ac:dyDescent="0.25">
      <c r="B237" s="347"/>
      <c r="C237" s="347"/>
      <c r="D237" s="347"/>
      <c r="E237" s="347"/>
      <c r="F237" s="347"/>
      <c r="G237" s="347"/>
      <c r="H237" s="347"/>
      <c r="I237" s="347"/>
      <c r="J237" s="347"/>
      <c r="K237" s="347"/>
      <c r="N237" s="347"/>
      <c r="O237" s="347"/>
      <c r="P237" s="347"/>
      <c r="Q237" s="347"/>
      <c r="R237" s="347"/>
      <c r="S237" s="347"/>
      <c r="T237" s="347"/>
      <c r="U237" s="347"/>
      <c r="V237" s="347"/>
      <c r="W237" s="347"/>
      <c r="X237" s="347"/>
    </row>
    <row r="238" spans="2:24" ht="22.5" customHeight="1" x14ac:dyDescent="0.25">
      <c r="B238" s="347"/>
      <c r="C238" s="347"/>
      <c r="D238" s="347"/>
      <c r="E238" s="347"/>
      <c r="F238" s="347"/>
      <c r="G238" s="347"/>
      <c r="H238" s="347"/>
      <c r="I238" s="347"/>
      <c r="J238" s="347"/>
      <c r="K238" s="347"/>
      <c r="N238" s="347"/>
      <c r="O238" s="347"/>
      <c r="P238" s="347"/>
      <c r="Q238" s="347"/>
      <c r="R238" s="347"/>
      <c r="S238" s="347"/>
      <c r="T238" s="347"/>
      <c r="U238" s="347"/>
      <c r="V238" s="347"/>
      <c r="W238" s="347"/>
      <c r="X238" s="347"/>
    </row>
    <row r="239" spans="2:24" ht="22.5" customHeight="1" x14ac:dyDescent="0.25">
      <c r="B239" s="347"/>
      <c r="C239" s="347"/>
      <c r="D239" s="347"/>
      <c r="E239" s="347"/>
      <c r="F239" s="347"/>
      <c r="G239" s="347"/>
      <c r="H239" s="347"/>
      <c r="I239" s="347"/>
      <c r="J239" s="347"/>
      <c r="K239" s="347"/>
      <c r="N239" s="347"/>
      <c r="O239" s="347"/>
      <c r="P239" s="347"/>
      <c r="Q239" s="347"/>
      <c r="R239" s="347"/>
      <c r="S239" s="347"/>
      <c r="T239" s="347"/>
      <c r="U239" s="347"/>
      <c r="V239" s="347"/>
      <c r="W239" s="347"/>
      <c r="X239" s="347"/>
    </row>
    <row r="240" spans="2:24" ht="22.5" customHeight="1" x14ac:dyDescent="0.25">
      <c r="B240" s="347"/>
      <c r="C240" s="347"/>
      <c r="D240" s="347"/>
      <c r="E240" s="347"/>
      <c r="F240" s="347"/>
      <c r="G240" s="347"/>
      <c r="H240" s="347"/>
      <c r="I240" s="347"/>
      <c r="J240" s="347"/>
      <c r="K240" s="347"/>
      <c r="N240" s="347"/>
      <c r="O240" s="347"/>
      <c r="P240" s="347"/>
      <c r="Q240" s="347"/>
      <c r="R240" s="347"/>
      <c r="S240" s="347"/>
      <c r="T240" s="347"/>
      <c r="U240" s="347"/>
      <c r="V240" s="347"/>
      <c r="W240" s="347"/>
      <c r="X240" s="347"/>
    </row>
    <row r="241" spans="2:24" ht="22.5" customHeight="1" x14ac:dyDescent="0.25">
      <c r="B241" s="347"/>
      <c r="C241" s="347"/>
      <c r="D241" s="347"/>
      <c r="E241" s="347"/>
      <c r="F241" s="347"/>
      <c r="G241" s="347"/>
      <c r="H241" s="347"/>
      <c r="I241" s="347"/>
      <c r="J241" s="347"/>
      <c r="K241" s="347"/>
      <c r="N241" s="347"/>
      <c r="O241" s="347"/>
      <c r="P241" s="347"/>
      <c r="Q241" s="347"/>
      <c r="R241" s="347"/>
      <c r="S241" s="347"/>
      <c r="T241" s="347"/>
      <c r="U241" s="347"/>
      <c r="V241" s="347"/>
      <c r="W241" s="347"/>
      <c r="X241" s="347"/>
    </row>
    <row r="242" spans="2:24" ht="22.5" customHeight="1" x14ac:dyDescent="0.25"/>
    <row r="243" spans="2:24" ht="22.5" customHeight="1" x14ac:dyDescent="0.25"/>
    <row r="244" spans="2:24" ht="22.5" customHeight="1" x14ac:dyDescent="0.25"/>
    <row r="245" spans="2:24" ht="22.5" customHeight="1" x14ac:dyDescent="0.25"/>
    <row r="246" spans="2:24" ht="22.5" customHeight="1" x14ac:dyDescent="0.25"/>
    <row r="247" spans="2:24" ht="22.5" customHeight="1" x14ac:dyDescent="0.25"/>
    <row r="248" spans="2:24" ht="22.5" customHeight="1" x14ac:dyDescent="0.25"/>
    <row r="249" spans="2:24" ht="22.5" customHeight="1" x14ac:dyDescent="0.25"/>
    <row r="250" spans="2:24" ht="22.5" customHeight="1" x14ac:dyDescent="0.25"/>
    <row r="251" spans="2:24" ht="22.5" customHeight="1" x14ac:dyDescent="0.25"/>
    <row r="252" spans="2:24" ht="22.5" customHeight="1" x14ac:dyDescent="0.25"/>
    <row r="253" spans="2:24" ht="22.5" customHeight="1" x14ac:dyDescent="0.25"/>
    <row r="254" spans="2:24" ht="22.5" customHeight="1" x14ac:dyDescent="0.25"/>
    <row r="255" spans="2:24" ht="22.5" customHeight="1" x14ac:dyDescent="0.25"/>
    <row r="256" spans="2:24" ht="22.5" customHeight="1" x14ac:dyDescent="0.25"/>
    <row r="257" ht="22.5" customHeight="1" x14ac:dyDescent="0.25"/>
    <row r="258" ht="22.5" customHeight="1" x14ac:dyDescent="0.25"/>
    <row r="259" ht="22.5" customHeight="1" x14ac:dyDescent="0.25"/>
    <row r="260" ht="22.5" customHeight="1" x14ac:dyDescent="0.25"/>
    <row r="261" ht="22.5" customHeight="1" x14ac:dyDescent="0.25"/>
    <row r="262" ht="22.5" customHeight="1" x14ac:dyDescent="0.25"/>
    <row r="263" ht="22.5" customHeight="1" x14ac:dyDescent="0.25"/>
  </sheetData>
  <sheetProtection algorithmName="SHA-512" hashValue="HIVki53NzzipeUcTyvIN5eSl072xEFULKZR/g3vjaxqODo8z82orn0lMV+9nlrKq6RyOH5XqjokK+s6tLlCqBw==" saltValue="uz/jDjiXZ5aqdcEOH9chwg==" spinCount="100000" sheet="1" objects="1" scenarios="1"/>
  <mergeCells count="2108">
    <mergeCell ref="A6:E7"/>
    <mergeCell ref="F6:H7"/>
    <mergeCell ref="I6:M7"/>
    <mergeCell ref="N6:P7"/>
    <mergeCell ref="Q6:T7"/>
    <mergeCell ref="U6:X7"/>
    <mergeCell ref="A1:B3"/>
    <mergeCell ref="C1:W3"/>
    <mergeCell ref="X1:X3"/>
    <mergeCell ref="A4:E5"/>
    <mergeCell ref="F4:H5"/>
    <mergeCell ref="I4:M5"/>
    <mergeCell ref="N4:P5"/>
    <mergeCell ref="Q4:T5"/>
    <mergeCell ref="U4:X5"/>
    <mergeCell ref="A12:X12"/>
    <mergeCell ref="A13:D14"/>
    <mergeCell ref="E13:X14"/>
    <mergeCell ref="A15:X15"/>
    <mergeCell ref="A16:K18"/>
    <mergeCell ref="L16:L220"/>
    <mergeCell ref="M16:X18"/>
    <mergeCell ref="A19:A20"/>
    <mergeCell ref="B19:C20"/>
    <mergeCell ref="D19:E20"/>
    <mergeCell ref="A10:E11"/>
    <mergeCell ref="F10:H11"/>
    <mergeCell ref="I10:M11"/>
    <mergeCell ref="N10:P11"/>
    <mergeCell ref="Q10:T11"/>
    <mergeCell ref="U10:X11"/>
    <mergeCell ref="A8:E9"/>
    <mergeCell ref="F8:H9"/>
    <mergeCell ref="I8:M9"/>
    <mergeCell ref="N8:P9"/>
    <mergeCell ref="Q8:T9"/>
    <mergeCell ref="U8:X9"/>
    <mergeCell ref="P21:Q21"/>
    <mergeCell ref="R21:S21"/>
    <mergeCell ref="U21:V21"/>
    <mergeCell ref="W21:X53"/>
    <mergeCell ref="B22:C22"/>
    <mergeCell ref="D22:E22"/>
    <mergeCell ref="F22:G22"/>
    <mergeCell ref="H22:I22"/>
    <mergeCell ref="J22:K22"/>
    <mergeCell ref="N22:O22"/>
    <mergeCell ref="R19:S20"/>
    <mergeCell ref="T19:T20"/>
    <mergeCell ref="U19:V20"/>
    <mergeCell ref="W19:X20"/>
    <mergeCell ref="B21:C21"/>
    <mergeCell ref="D21:E21"/>
    <mergeCell ref="F21:G21"/>
    <mergeCell ref="H21:I21"/>
    <mergeCell ref="J21:K21"/>
    <mergeCell ref="N21:O21"/>
    <mergeCell ref="F19:G20"/>
    <mergeCell ref="H19:I20"/>
    <mergeCell ref="J19:K20"/>
    <mergeCell ref="M19:M20"/>
    <mergeCell ref="N19:O20"/>
    <mergeCell ref="P19:Q20"/>
    <mergeCell ref="R23:S23"/>
    <mergeCell ref="U23:V23"/>
    <mergeCell ref="B24:C24"/>
    <mergeCell ref="D24:E24"/>
    <mergeCell ref="F24:G24"/>
    <mergeCell ref="H24:I24"/>
    <mergeCell ref="J24:K24"/>
    <mergeCell ref="N24:O24"/>
    <mergeCell ref="P24:Q24"/>
    <mergeCell ref="R24:S24"/>
    <mergeCell ref="P22:Q22"/>
    <mergeCell ref="R22:S22"/>
    <mergeCell ref="U22:V22"/>
    <mergeCell ref="B23:C23"/>
    <mergeCell ref="D23:E23"/>
    <mergeCell ref="F23:G23"/>
    <mergeCell ref="H23:I23"/>
    <mergeCell ref="J23:K23"/>
    <mergeCell ref="N23:O23"/>
    <mergeCell ref="P23:Q23"/>
    <mergeCell ref="P26:Q26"/>
    <mergeCell ref="R26:S26"/>
    <mergeCell ref="U26:V26"/>
    <mergeCell ref="B27:C27"/>
    <mergeCell ref="D27:E27"/>
    <mergeCell ref="F27:G27"/>
    <mergeCell ref="H27:I27"/>
    <mergeCell ref="J27:K27"/>
    <mergeCell ref="N27:O27"/>
    <mergeCell ref="P27:Q27"/>
    <mergeCell ref="B26:C26"/>
    <mergeCell ref="D26:E26"/>
    <mergeCell ref="F26:G26"/>
    <mergeCell ref="H26:I26"/>
    <mergeCell ref="J26:K26"/>
    <mergeCell ref="N26:O26"/>
    <mergeCell ref="U24:V24"/>
    <mergeCell ref="B25:C25"/>
    <mergeCell ref="D25:E25"/>
    <mergeCell ref="F25:G25"/>
    <mergeCell ref="H25:I25"/>
    <mergeCell ref="J25:K25"/>
    <mergeCell ref="N25:O25"/>
    <mergeCell ref="P25:Q25"/>
    <mergeCell ref="R25:S25"/>
    <mergeCell ref="U25:V25"/>
    <mergeCell ref="U28:V28"/>
    <mergeCell ref="B29:C29"/>
    <mergeCell ref="D29:E29"/>
    <mergeCell ref="F29:G29"/>
    <mergeCell ref="H29:I29"/>
    <mergeCell ref="J29:K29"/>
    <mergeCell ref="N29:O29"/>
    <mergeCell ref="P29:Q29"/>
    <mergeCell ref="R29:S29"/>
    <mergeCell ref="U29:V29"/>
    <mergeCell ref="R27:S27"/>
    <mergeCell ref="U27:V27"/>
    <mergeCell ref="B28:C28"/>
    <mergeCell ref="D28:E28"/>
    <mergeCell ref="F28:G28"/>
    <mergeCell ref="H28:I28"/>
    <mergeCell ref="J28:K28"/>
    <mergeCell ref="N28:O28"/>
    <mergeCell ref="P28:Q28"/>
    <mergeCell ref="R28:S28"/>
    <mergeCell ref="R31:S31"/>
    <mergeCell ref="U31:V31"/>
    <mergeCell ref="B32:C32"/>
    <mergeCell ref="D32:E32"/>
    <mergeCell ref="F32:G32"/>
    <mergeCell ref="H32:I32"/>
    <mergeCell ref="J32:K32"/>
    <mergeCell ref="N32:O32"/>
    <mergeCell ref="P32:Q32"/>
    <mergeCell ref="R32:S32"/>
    <mergeCell ref="P30:Q30"/>
    <mergeCell ref="R30:S30"/>
    <mergeCell ref="U30:V30"/>
    <mergeCell ref="B31:C31"/>
    <mergeCell ref="D31:E31"/>
    <mergeCell ref="F31:G31"/>
    <mergeCell ref="H31:I31"/>
    <mergeCell ref="J31:K31"/>
    <mergeCell ref="N31:O31"/>
    <mergeCell ref="P31:Q31"/>
    <mergeCell ref="B30:C30"/>
    <mergeCell ref="D30:E30"/>
    <mergeCell ref="F30:G30"/>
    <mergeCell ref="H30:I30"/>
    <mergeCell ref="J30:K30"/>
    <mergeCell ref="N30:O30"/>
    <mergeCell ref="P34:Q34"/>
    <mergeCell ref="R34:S34"/>
    <mergeCell ref="U34:V34"/>
    <mergeCell ref="B35:C35"/>
    <mergeCell ref="D35:E35"/>
    <mergeCell ref="F35:G35"/>
    <mergeCell ref="H35:I35"/>
    <mergeCell ref="J35:K35"/>
    <mergeCell ref="N35:O35"/>
    <mergeCell ref="P35:Q35"/>
    <mergeCell ref="B34:C34"/>
    <mergeCell ref="D34:E34"/>
    <mergeCell ref="F34:G34"/>
    <mergeCell ref="H34:I34"/>
    <mergeCell ref="J34:K34"/>
    <mergeCell ref="N34:O34"/>
    <mergeCell ref="U32:V32"/>
    <mergeCell ref="B33:C33"/>
    <mergeCell ref="D33:E33"/>
    <mergeCell ref="F33:G33"/>
    <mergeCell ref="H33:I33"/>
    <mergeCell ref="J33:K33"/>
    <mergeCell ref="N33:O33"/>
    <mergeCell ref="P33:Q33"/>
    <mergeCell ref="R33:S33"/>
    <mergeCell ref="U33:V33"/>
    <mergeCell ref="U36:V36"/>
    <mergeCell ref="B37:C37"/>
    <mergeCell ref="D37:E37"/>
    <mergeCell ref="F37:G37"/>
    <mergeCell ref="H37:I37"/>
    <mergeCell ref="J37:K37"/>
    <mergeCell ref="N37:O37"/>
    <mergeCell ref="P37:Q37"/>
    <mergeCell ref="R37:S37"/>
    <mergeCell ref="U37:V37"/>
    <mergeCell ref="R35:S35"/>
    <mergeCell ref="U35:V35"/>
    <mergeCell ref="B36:C36"/>
    <mergeCell ref="D36:E36"/>
    <mergeCell ref="F36:G36"/>
    <mergeCell ref="H36:I36"/>
    <mergeCell ref="J36:K36"/>
    <mergeCell ref="N36:O36"/>
    <mergeCell ref="P36:Q36"/>
    <mergeCell ref="R36:S36"/>
    <mergeCell ref="R39:S39"/>
    <mergeCell ref="U39:V39"/>
    <mergeCell ref="B40:C40"/>
    <mergeCell ref="D40:E40"/>
    <mergeCell ref="F40:G40"/>
    <mergeCell ref="H40:I40"/>
    <mergeCell ref="J40:K40"/>
    <mergeCell ref="N40:O40"/>
    <mergeCell ref="P40:Q40"/>
    <mergeCell ref="R40:S40"/>
    <mergeCell ref="P38:Q38"/>
    <mergeCell ref="R38:S38"/>
    <mergeCell ref="U38:V38"/>
    <mergeCell ref="B39:C39"/>
    <mergeCell ref="D39:E39"/>
    <mergeCell ref="F39:G39"/>
    <mergeCell ref="H39:I39"/>
    <mergeCell ref="J39:K39"/>
    <mergeCell ref="N39:O39"/>
    <mergeCell ref="P39:Q39"/>
    <mergeCell ref="B38:C38"/>
    <mergeCell ref="D38:E38"/>
    <mergeCell ref="F38:G38"/>
    <mergeCell ref="H38:I38"/>
    <mergeCell ref="J38:K38"/>
    <mergeCell ref="N38:O38"/>
    <mergeCell ref="P42:Q42"/>
    <mergeCell ref="R42:S42"/>
    <mergeCell ref="U42:V42"/>
    <mergeCell ref="B43:C43"/>
    <mergeCell ref="D43:E43"/>
    <mergeCell ref="F43:G43"/>
    <mergeCell ref="H43:I43"/>
    <mergeCell ref="J43:K43"/>
    <mergeCell ref="N43:O43"/>
    <mergeCell ref="P43:Q43"/>
    <mergeCell ref="B42:C42"/>
    <mergeCell ref="D42:E42"/>
    <mergeCell ref="F42:G42"/>
    <mergeCell ref="H42:I42"/>
    <mergeCell ref="J42:K42"/>
    <mergeCell ref="N42:O42"/>
    <mergeCell ref="U40:V40"/>
    <mergeCell ref="B41:C41"/>
    <mergeCell ref="D41:E41"/>
    <mergeCell ref="F41:G41"/>
    <mergeCell ref="H41:I41"/>
    <mergeCell ref="J41:K41"/>
    <mergeCell ref="N41:O41"/>
    <mergeCell ref="P41:Q41"/>
    <mergeCell ref="R41:S41"/>
    <mergeCell ref="U41:V41"/>
    <mergeCell ref="U44:V44"/>
    <mergeCell ref="B45:C45"/>
    <mergeCell ref="D45:E45"/>
    <mergeCell ref="F45:G45"/>
    <mergeCell ref="H45:I45"/>
    <mergeCell ref="J45:K45"/>
    <mergeCell ref="N45:O45"/>
    <mergeCell ref="P45:Q45"/>
    <mergeCell ref="R45:S45"/>
    <mergeCell ref="U45:V45"/>
    <mergeCell ref="R43:S43"/>
    <mergeCell ref="U43:V43"/>
    <mergeCell ref="B44:C44"/>
    <mergeCell ref="D44:E44"/>
    <mergeCell ref="F44:G44"/>
    <mergeCell ref="H44:I44"/>
    <mergeCell ref="J44:K44"/>
    <mergeCell ref="N44:O44"/>
    <mergeCell ref="P44:Q44"/>
    <mergeCell ref="R44:S44"/>
    <mergeCell ref="R47:S47"/>
    <mergeCell ref="U47:V47"/>
    <mergeCell ref="B48:C48"/>
    <mergeCell ref="D48:E48"/>
    <mergeCell ref="F48:G48"/>
    <mergeCell ref="H48:I48"/>
    <mergeCell ref="J48:K48"/>
    <mergeCell ref="N48:O48"/>
    <mergeCell ref="P48:Q48"/>
    <mergeCell ref="R48:S48"/>
    <mergeCell ref="P46:Q46"/>
    <mergeCell ref="R46:S46"/>
    <mergeCell ref="U46:V46"/>
    <mergeCell ref="B47:C47"/>
    <mergeCell ref="D47:E47"/>
    <mergeCell ref="F47:G47"/>
    <mergeCell ref="H47:I47"/>
    <mergeCell ref="J47:K47"/>
    <mergeCell ref="N47:O47"/>
    <mergeCell ref="P47:Q47"/>
    <mergeCell ref="B46:C46"/>
    <mergeCell ref="D46:E46"/>
    <mergeCell ref="F46:G46"/>
    <mergeCell ref="H46:I46"/>
    <mergeCell ref="J46:K46"/>
    <mergeCell ref="N46:O46"/>
    <mergeCell ref="P50:Q50"/>
    <mergeCell ref="R50:S50"/>
    <mergeCell ref="U50:V50"/>
    <mergeCell ref="B51:C51"/>
    <mergeCell ref="D51:E51"/>
    <mergeCell ref="F51:G51"/>
    <mergeCell ref="H51:I51"/>
    <mergeCell ref="J51:K51"/>
    <mergeCell ref="N51:O51"/>
    <mergeCell ref="P51:Q51"/>
    <mergeCell ref="B50:C50"/>
    <mergeCell ref="D50:E50"/>
    <mergeCell ref="F50:G50"/>
    <mergeCell ref="H50:I50"/>
    <mergeCell ref="J50:K50"/>
    <mergeCell ref="N50:O50"/>
    <mergeCell ref="U48:V48"/>
    <mergeCell ref="B49:C49"/>
    <mergeCell ref="D49:E49"/>
    <mergeCell ref="F49:G49"/>
    <mergeCell ref="H49:I49"/>
    <mergeCell ref="J49:K49"/>
    <mergeCell ref="N49:O49"/>
    <mergeCell ref="P49:Q49"/>
    <mergeCell ref="R49:S49"/>
    <mergeCell ref="U49:V49"/>
    <mergeCell ref="U52:V52"/>
    <mergeCell ref="B53:C53"/>
    <mergeCell ref="D53:E53"/>
    <mergeCell ref="F53:G53"/>
    <mergeCell ref="H53:I53"/>
    <mergeCell ref="J53:K53"/>
    <mergeCell ref="N53:O53"/>
    <mergeCell ref="P53:Q53"/>
    <mergeCell ref="R53:S53"/>
    <mergeCell ref="U53:V53"/>
    <mergeCell ref="R51:S51"/>
    <mergeCell ref="U51:V51"/>
    <mergeCell ref="B52:C52"/>
    <mergeCell ref="D52:E52"/>
    <mergeCell ref="F52:G52"/>
    <mergeCell ref="H52:I52"/>
    <mergeCell ref="J52:K52"/>
    <mergeCell ref="N52:O52"/>
    <mergeCell ref="P52:Q52"/>
    <mergeCell ref="R52:S52"/>
    <mergeCell ref="R55:S55"/>
    <mergeCell ref="U55:V55"/>
    <mergeCell ref="B56:C56"/>
    <mergeCell ref="D56:E56"/>
    <mergeCell ref="F56:G56"/>
    <mergeCell ref="H56:I56"/>
    <mergeCell ref="J56:K56"/>
    <mergeCell ref="N56:O56"/>
    <mergeCell ref="P56:Q56"/>
    <mergeCell ref="R56:S56"/>
    <mergeCell ref="P54:Q54"/>
    <mergeCell ref="R54:S54"/>
    <mergeCell ref="U54:V54"/>
    <mergeCell ref="B55:C55"/>
    <mergeCell ref="D55:E55"/>
    <mergeCell ref="F55:G55"/>
    <mergeCell ref="H55:I55"/>
    <mergeCell ref="J55:K55"/>
    <mergeCell ref="N55:O55"/>
    <mergeCell ref="P55:Q55"/>
    <mergeCell ref="B54:C54"/>
    <mergeCell ref="D54:E54"/>
    <mergeCell ref="F54:G54"/>
    <mergeCell ref="H54:I54"/>
    <mergeCell ref="J54:K54"/>
    <mergeCell ref="N54:O54"/>
    <mergeCell ref="P58:Q58"/>
    <mergeCell ref="R58:S58"/>
    <mergeCell ref="U58:V58"/>
    <mergeCell ref="B59:C59"/>
    <mergeCell ref="D59:E59"/>
    <mergeCell ref="F59:G59"/>
    <mergeCell ref="H59:I59"/>
    <mergeCell ref="J59:K59"/>
    <mergeCell ref="N59:O59"/>
    <mergeCell ref="P59:Q59"/>
    <mergeCell ref="B58:C58"/>
    <mergeCell ref="D58:E58"/>
    <mergeCell ref="F58:G58"/>
    <mergeCell ref="H58:I58"/>
    <mergeCell ref="J58:K58"/>
    <mergeCell ref="N58:O58"/>
    <mergeCell ref="U56:V56"/>
    <mergeCell ref="B57:C57"/>
    <mergeCell ref="D57:E57"/>
    <mergeCell ref="F57:G57"/>
    <mergeCell ref="H57:I57"/>
    <mergeCell ref="J57:K57"/>
    <mergeCell ref="N57:O57"/>
    <mergeCell ref="P57:Q57"/>
    <mergeCell ref="R57:S57"/>
    <mergeCell ref="U57:V57"/>
    <mergeCell ref="U60:V60"/>
    <mergeCell ref="B61:C61"/>
    <mergeCell ref="D61:E61"/>
    <mergeCell ref="F61:G61"/>
    <mergeCell ref="H61:I61"/>
    <mergeCell ref="J61:K61"/>
    <mergeCell ref="N61:O61"/>
    <mergeCell ref="P61:Q61"/>
    <mergeCell ref="R61:S61"/>
    <mergeCell ref="U61:V61"/>
    <mergeCell ref="R59:S59"/>
    <mergeCell ref="U59:V59"/>
    <mergeCell ref="B60:C60"/>
    <mergeCell ref="D60:E60"/>
    <mergeCell ref="F60:G60"/>
    <mergeCell ref="H60:I60"/>
    <mergeCell ref="J60:K60"/>
    <mergeCell ref="N60:O60"/>
    <mergeCell ref="P60:Q60"/>
    <mergeCell ref="R60:S60"/>
    <mergeCell ref="R63:S63"/>
    <mergeCell ref="U63:V63"/>
    <mergeCell ref="B64:C64"/>
    <mergeCell ref="D64:E64"/>
    <mergeCell ref="F64:G64"/>
    <mergeCell ref="H64:I64"/>
    <mergeCell ref="J64:K64"/>
    <mergeCell ref="N64:O64"/>
    <mergeCell ref="P64:Q64"/>
    <mergeCell ref="R64:S64"/>
    <mergeCell ref="P62:Q62"/>
    <mergeCell ref="R62:S62"/>
    <mergeCell ref="U62:V62"/>
    <mergeCell ref="B63:C63"/>
    <mergeCell ref="D63:E63"/>
    <mergeCell ref="F63:G63"/>
    <mergeCell ref="H63:I63"/>
    <mergeCell ref="J63:K63"/>
    <mergeCell ref="N63:O63"/>
    <mergeCell ref="P63:Q63"/>
    <mergeCell ref="B62:C62"/>
    <mergeCell ref="D62:E62"/>
    <mergeCell ref="F62:G62"/>
    <mergeCell ref="H62:I62"/>
    <mergeCell ref="J62:K62"/>
    <mergeCell ref="N62:O62"/>
    <mergeCell ref="P66:Q66"/>
    <mergeCell ref="R66:S66"/>
    <mergeCell ref="U66:V66"/>
    <mergeCell ref="B67:C67"/>
    <mergeCell ref="D67:E67"/>
    <mergeCell ref="F67:G67"/>
    <mergeCell ref="H67:I67"/>
    <mergeCell ref="J67:K67"/>
    <mergeCell ref="N67:O67"/>
    <mergeCell ref="P67:Q67"/>
    <mergeCell ref="B66:C66"/>
    <mergeCell ref="D66:E66"/>
    <mergeCell ref="F66:G66"/>
    <mergeCell ref="H66:I66"/>
    <mergeCell ref="J66:K66"/>
    <mergeCell ref="N66:O66"/>
    <mergeCell ref="U64:V64"/>
    <mergeCell ref="B65:C65"/>
    <mergeCell ref="D65:E65"/>
    <mergeCell ref="F65:G65"/>
    <mergeCell ref="H65:I65"/>
    <mergeCell ref="J65:K65"/>
    <mergeCell ref="N65:O65"/>
    <mergeCell ref="P65:Q65"/>
    <mergeCell ref="R65:S65"/>
    <mergeCell ref="U65:V65"/>
    <mergeCell ref="U68:V68"/>
    <mergeCell ref="B69:C69"/>
    <mergeCell ref="D69:E69"/>
    <mergeCell ref="F69:G69"/>
    <mergeCell ref="H69:I69"/>
    <mergeCell ref="J69:K69"/>
    <mergeCell ref="N69:O69"/>
    <mergeCell ref="P69:Q69"/>
    <mergeCell ref="R69:S69"/>
    <mergeCell ref="U69:V69"/>
    <mergeCell ref="R67:S67"/>
    <mergeCell ref="U67:V67"/>
    <mergeCell ref="B68:C68"/>
    <mergeCell ref="D68:E68"/>
    <mergeCell ref="F68:G68"/>
    <mergeCell ref="H68:I68"/>
    <mergeCell ref="J68:K68"/>
    <mergeCell ref="N68:O68"/>
    <mergeCell ref="P68:Q68"/>
    <mergeCell ref="R68:S68"/>
    <mergeCell ref="R71:S71"/>
    <mergeCell ref="U71:V71"/>
    <mergeCell ref="B72:C72"/>
    <mergeCell ref="D72:E72"/>
    <mergeCell ref="F72:G72"/>
    <mergeCell ref="H72:I72"/>
    <mergeCell ref="J72:K72"/>
    <mergeCell ref="N72:O72"/>
    <mergeCell ref="P72:Q72"/>
    <mergeCell ref="R72:S72"/>
    <mergeCell ref="P70:Q70"/>
    <mergeCell ref="R70:S70"/>
    <mergeCell ref="U70:V70"/>
    <mergeCell ref="B71:C71"/>
    <mergeCell ref="D71:E71"/>
    <mergeCell ref="F71:G71"/>
    <mergeCell ref="H71:I71"/>
    <mergeCell ref="J71:K71"/>
    <mergeCell ref="N71:O71"/>
    <mergeCell ref="P71:Q71"/>
    <mergeCell ref="B70:C70"/>
    <mergeCell ref="D70:E70"/>
    <mergeCell ref="F70:G70"/>
    <mergeCell ref="H70:I70"/>
    <mergeCell ref="J70:K70"/>
    <mergeCell ref="N70:O70"/>
    <mergeCell ref="P74:Q74"/>
    <mergeCell ref="R74:S74"/>
    <mergeCell ref="U74:V74"/>
    <mergeCell ref="B75:C75"/>
    <mergeCell ref="D75:E75"/>
    <mergeCell ref="F75:G75"/>
    <mergeCell ref="H75:I75"/>
    <mergeCell ref="J75:K75"/>
    <mergeCell ref="N75:O75"/>
    <mergeCell ref="P75:Q75"/>
    <mergeCell ref="B74:C74"/>
    <mergeCell ref="D74:E74"/>
    <mergeCell ref="F74:G74"/>
    <mergeCell ref="H74:I74"/>
    <mergeCell ref="J74:K74"/>
    <mergeCell ref="N74:O74"/>
    <mergeCell ref="U72:V72"/>
    <mergeCell ref="B73:C73"/>
    <mergeCell ref="D73:E73"/>
    <mergeCell ref="F73:G73"/>
    <mergeCell ref="H73:I73"/>
    <mergeCell ref="J73:K73"/>
    <mergeCell ref="N73:O73"/>
    <mergeCell ref="P73:Q73"/>
    <mergeCell ref="R73:S73"/>
    <mergeCell ref="U73:V73"/>
    <mergeCell ref="U76:V76"/>
    <mergeCell ref="B77:C77"/>
    <mergeCell ref="D77:E77"/>
    <mergeCell ref="F77:G77"/>
    <mergeCell ref="H77:I77"/>
    <mergeCell ref="J77:K77"/>
    <mergeCell ref="N77:O77"/>
    <mergeCell ref="P77:Q77"/>
    <mergeCell ref="R77:S77"/>
    <mergeCell ref="U77:V77"/>
    <mergeCell ref="R75:S75"/>
    <mergeCell ref="U75:V75"/>
    <mergeCell ref="B76:C76"/>
    <mergeCell ref="D76:E76"/>
    <mergeCell ref="F76:G76"/>
    <mergeCell ref="H76:I76"/>
    <mergeCell ref="J76:K76"/>
    <mergeCell ref="N76:O76"/>
    <mergeCell ref="P76:Q76"/>
    <mergeCell ref="R76:S76"/>
    <mergeCell ref="R79:S79"/>
    <mergeCell ref="U79:V79"/>
    <mergeCell ref="B80:C80"/>
    <mergeCell ref="D80:E80"/>
    <mergeCell ref="F80:G80"/>
    <mergeCell ref="H80:I80"/>
    <mergeCell ref="J80:K80"/>
    <mergeCell ref="N80:O80"/>
    <mergeCell ref="P80:Q80"/>
    <mergeCell ref="R80:S80"/>
    <mergeCell ref="P78:Q78"/>
    <mergeCell ref="R78:S78"/>
    <mergeCell ref="U78:V78"/>
    <mergeCell ref="B79:C79"/>
    <mergeCell ref="D79:E79"/>
    <mergeCell ref="F79:G79"/>
    <mergeCell ref="H79:I79"/>
    <mergeCell ref="J79:K79"/>
    <mergeCell ref="N79:O79"/>
    <mergeCell ref="P79:Q79"/>
    <mergeCell ref="B78:C78"/>
    <mergeCell ref="D78:E78"/>
    <mergeCell ref="F78:G78"/>
    <mergeCell ref="H78:I78"/>
    <mergeCell ref="J78:K78"/>
    <mergeCell ref="N78:O78"/>
    <mergeCell ref="P82:Q82"/>
    <mergeCell ref="R82:S82"/>
    <mergeCell ref="U82:V82"/>
    <mergeCell ref="B83:C83"/>
    <mergeCell ref="D83:E83"/>
    <mergeCell ref="F83:G83"/>
    <mergeCell ref="H83:I83"/>
    <mergeCell ref="J83:K83"/>
    <mergeCell ref="N83:O83"/>
    <mergeCell ref="P83:Q83"/>
    <mergeCell ref="B82:C82"/>
    <mergeCell ref="D82:E82"/>
    <mergeCell ref="F82:G82"/>
    <mergeCell ref="H82:I82"/>
    <mergeCell ref="J82:K82"/>
    <mergeCell ref="N82:O82"/>
    <mergeCell ref="U80:V80"/>
    <mergeCell ref="B81:C81"/>
    <mergeCell ref="D81:E81"/>
    <mergeCell ref="F81:G81"/>
    <mergeCell ref="H81:I81"/>
    <mergeCell ref="J81:K81"/>
    <mergeCell ref="N81:O81"/>
    <mergeCell ref="P81:Q81"/>
    <mergeCell ref="R81:S81"/>
    <mergeCell ref="U81:V81"/>
    <mergeCell ref="U84:V84"/>
    <mergeCell ref="B85:C85"/>
    <mergeCell ref="D85:E85"/>
    <mergeCell ref="F85:G85"/>
    <mergeCell ref="H85:I85"/>
    <mergeCell ref="J85:K85"/>
    <mergeCell ref="N85:O85"/>
    <mergeCell ref="P85:Q85"/>
    <mergeCell ref="R85:S85"/>
    <mergeCell ref="U85:V85"/>
    <mergeCell ref="R83:S83"/>
    <mergeCell ref="U83:V83"/>
    <mergeCell ref="B84:C84"/>
    <mergeCell ref="D84:E84"/>
    <mergeCell ref="F84:G84"/>
    <mergeCell ref="H84:I84"/>
    <mergeCell ref="J84:K84"/>
    <mergeCell ref="N84:O84"/>
    <mergeCell ref="P84:Q84"/>
    <mergeCell ref="R84:S84"/>
    <mergeCell ref="R87:S87"/>
    <mergeCell ref="U87:V87"/>
    <mergeCell ref="B88:C88"/>
    <mergeCell ref="D88:E88"/>
    <mergeCell ref="F88:G88"/>
    <mergeCell ref="H88:I88"/>
    <mergeCell ref="J88:K88"/>
    <mergeCell ref="N88:O88"/>
    <mergeCell ref="P88:Q88"/>
    <mergeCell ref="R88:S88"/>
    <mergeCell ref="P86:Q86"/>
    <mergeCell ref="R86:S86"/>
    <mergeCell ref="U86:V86"/>
    <mergeCell ref="B87:C87"/>
    <mergeCell ref="D87:E87"/>
    <mergeCell ref="F87:G87"/>
    <mergeCell ref="H87:I87"/>
    <mergeCell ref="J87:K87"/>
    <mergeCell ref="N87:O87"/>
    <mergeCell ref="P87:Q87"/>
    <mergeCell ref="B86:C86"/>
    <mergeCell ref="D86:E86"/>
    <mergeCell ref="F86:G86"/>
    <mergeCell ref="H86:I86"/>
    <mergeCell ref="J86:K86"/>
    <mergeCell ref="N86:O86"/>
    <mergeCell ref="P90:Q90"/>
    <mergeCell ref="R90:S90"/>
    <mergeCell ref="U90:V90"/>
    <mergeCell ref="B91:C91"/>
    <mergeCell ref="D91:E91"/>
    <mergeCell ref="F91:G91"/>
    <mergeCell ref="H91:I91"/>
    <mergeCell ref="J91:K91"/>
    <mergeCell ref="N91:O91"/>
    <mergeCell ref="P91:Q91"/>
    <mergeCell ref="B90:C90"/>
    <mergeCell ref="D90:E90"/>
    <mergeCell ref="F90:G90"/>
    <mergeCell ref="H90:I90"/>
    <mergeCell ref="J90:K90"/>
    <mergeCell ref="N90:O90"/>
    <mergeCell ref="U88:V88"/>
    <mergeCell ref="B89:C89"/>
    <mergeCell ref="D89:E89"/>
    <mergeCell ref="F89:G89"/>
    <mergeCell ref="H89:I89"/>
    <mergeCell ref="J89:K89"/>
    <mergeCell ref="N89:O89"/>
    <mergeCell ref="P89:Q89"/>
    <mergeCell ref="R89:S89"/>
    <mergeCell ref="U89:V89"/>
    <mergeCell ref="U92:V92"/>
    <mergeCell ref="B93:C93"/>
    <mergeCell ref="D93:E93"/>
    <mergeCell ref="F93:G93"/>
    <mergeCell ref="H93:I93"/>
    <mergeCell ref="J93:K93"/>
    <mergeCell ref="N93:O93"/>
    <mergeCell ref="P93:Q93"/>
    <mergeCell ref="R93:S93"/>
    <mergeCell ref="U93:V93"/>
    <mergeCell ref="R91:S91"/>
    <mergeCell ref="U91:V91"/>
    <mergeCell ref="B92:C92"/>
    <mergeCell ref="D92:E92"/>
    <mergeCell ref="F92:G92"/>
    <mergeCell ref="H92:I92"/>
    <mergeCell ref="J92:K92"/>
    <mergeCell ref="N92:O92"/>
    <mergeCell ref="P92:Q92"/>
    <mergeCell ref="R92:S92"/>
    <mergeCell ref="R95:S95"/>
    <mergeCell ref="U95:V95"/>
    <mergeCell ref="B96:C96"/>
    <mergeCell ref="D96:E96"/>
    <mergeCell ref="F96:G96"/>
    <mergeCell ref="H96:I96"/>
    <mergeCell ref="J96:K96"/>
    <mergeCell ref="N96:O96"/>
    <mergeCell ref="P96:Q96"/>
    <mergeCell ref="R96:S96"/>
    <mergeCell ref="P94:Q94"/>
    <mergeCell ref="R94:S94"/>
    <mergeCell ref="U94:V94"/>
    <mergeCell ref="B95:C95"/>
    <mergeCell ref="D95:E95"/>
    <mergeCell ref="F95:G95"/>
    <mergeCell ref="H95:I95"/>
    <mergeCell ref="J95:K95"/>
    <mergeCell ref="N95:O95"/>
    <mergeCell ref="P95:Q95"/>
    <mergeCell ref="B94:C94"/>
    <mergeCell ref="D94:E94"/>
    <mergeCell ref="F94:G94"/>
    <mergeCell ref="H94:I94"/>
    <mergeCell ref="J94:K94"/>
    <mergeCell ref="N94:O94"/>
    <mergeCell ref="P98:Q98"/>
    <mergeCell ref="R98:S98"/>
    <mergeCell ref="U98:V98"/>
    <mergeCell ref="B99:C99"/>
    <mergeCell ref="D99:E99"/>
    <mergeCell ref="F99:G99"/>
    <mergeCell ref="H99:I99"/>
    <mergeCell ref="J99:K99"/>
    <mergeCell ref="N99:O99"/>
    <mergeCell ref="P99:Q99"/>
    <mergeCell ref="B98:C98"/>
    <mergeCell ref="D98:E98"/>
    <mergeCell ref="F98:G98"/>
    <mergeCell ref="H98:I98"/>
    <mergeCell ref="J98:K98"/>
    <mergeCell ref="N98:O98"/>
    <mergeCell ref="U96:V96"/>
    <mergeCell ref="B97:C97"/>
    <mergeCell ref="D97:E97"/>
    <mergeCell ref="F97:G97"/>
    <mergeCell ref="H97:I97"/>
    <mergeCell ref="J97:K97"/>
    <mergeCell ref="N97:O97"/>
    <mergeCell ref="P97:Q97"/>
    <mergeCell ref="R97:S97"/>
    <mergeCell ref="U97:V97"/>
    <mergeCell ref="U100:V100"/>
    <mergeCell ref="B101:C101"/>
    <mergeCell ref="D101:E101"/>
    <mergeCell ref="F101:G101"/>
    <mergeCell ref="H101:I101"/>
    <mergeCell ref="J101:K101"/>
    <mergeCell ref="N101:O101"/>
    <mergeCell ref="P101:Q101"/>
    <mergeCell ref="R101:S101"/>
    <mergeCell ref="U101:V101"/>
    <mergeCell ref="R99:S99"/>
    <mergeCell ref="U99:V99"/>
    <mergeCell ref="B100:C100"/>
    <mergeCell ref="D100:E100"/>
    <mergeCell ref="F100:G100"/>
    <mergeCell ref="H100:I100"/>
    <mergeCell ref="J100:K100"/>
    <mergeCell ref="N100:O100"/>
    <mergeCell ref="P100:Q100"/>
    <mergeCell ref="R100:S100"/>
    <mergeCell ref="R103:S103"/>
    <mergeCell ref="U103:V103"/>
    <mergeCell ref="B104:C104"/>
    <mergeCell ref="D104:E104"/>
    <mergeCell ref="F104:G104"/>
    <mergeCell ref="H104:I104"/>
    <mergeCell ref="J104:K104"/>
    <mergeCell ref="N104:O104"/>
    <mergeCell ref="P104:Q104"/>
    <mergeCell ref="R104:S104"/>
    <mergeCell ref="P102:Q102"/>
    <mergeCell ref="R102:S102"/>
    <mergeCell ref="U102:V102"/>
    <mergeCell ref="B103:C103"/>
    <mergeCell ref="D103:E103"/>
    <mergeCell ref="F103:G103"/>
    <mergeCell ref="H103:I103"/>
    <mergeCell ref="J103:K103"/>
    <mergeCell ref="N103:O103"/>
    <mergeCell ref="P103:Q103"/>
    <mergeCell ref="B102:C102"/>
    <mergeCell ref="D102:E102"/>
    <mergeCell ref="F102:G102"/>
    <mergeCell ref="H102:I102"/>
    <mergeCell ref="J102:K102"/>
    <mergeCell ref="N102:O102"/>
    <mergeCell ref="P106:Q106"/>
    <mergeCell ref="R106:S106"/>
    <mergeCell ref="U106:V106"/>
    <mergeCell ref="B107:C107"/>
    <mergeCell ref="D107:E107"/>
    <mergeCell ref="F107:G107"/>
    <mergeCell ref="H107:I107"/>
    <mergeCell ref="J107:K107"/>
    <mergeCell ref="N107:O107"/>
    <mergeCell ref="P107:Q107"/>
    <mergeCell ref="B106:C106"/>
    <mergeCell ref="D106:E106"/>
    <mergeCell ref="F106:G106"/>
    <mergeCell ref="H106:I106"/>
    <mergeCell ref="J106:K106"/>
    <mergeCell ref="N106:O106"/>
    <mergeCell ref="U104:V104"/>
    <mergeCell ref="B105:C105"/>
    <mergeCell ref="D105:E105"/>
    <mergeCell ref="F105:G105"/>
    <mergeCell ref="H105:I105"/>
    <mergeCell ref="J105:K105"/>
    <mergeCell ref="N105:O105"/>
    <mergeCell ref="P105:Q105"/>
    <mergeCell ref="R105:S105"/>
    <mergeCell ref="U105:V105"/>
    <mergeCell ref="U108:V108"/>
    <mergeCell ref="B109:C109"/>
    <mergeCell ref="D109:E109"/>
    <mergeCell ref="F109:G109"/>
    <mergeCell ref="H109:I109"/>
    <mergeCell ref="J109:K109"/>
    <mergeCell ref="N109:O109"/>
    <mergeCell ref="P109:Q109"/>
    <mergeCell ref="R109:S109"/>
    <mergeCell ref="U109:V109"/>
    <mergeCell ref="R107:S107"/>
    <mergeCell ref="U107:V107"/>
    <mergeCell ref="B108:C108"/>
    <mergeCell ref="D108:E108"/>
    <mergeCell ref="F108:G108"/>
    <mergeCell ref="H108:I108"/>
    <mergeCell ref="J108:K108"/>
    <mergeCell ref="N108:O108"/>
    <mergeCell ref="P108:Q108"/>
    <mergeCell ref="R108:S108"/>
    <mergeCell ref="R111:S111"/>
    <mergeCell ref="U111:V111"/>
    <mergeCell ref="B112:C112"/>
    <mergeCell ref="D112:E112"/>
    <mergeCell ref="F112:G112"/>
    <mergeCell ref="H112:I112"/>
    <mergeCell ref="J112:K112"/>
    <mergeCell ref="N112:O112"/>
    <mergeCell ref="P112:Q112"/>
    <mergeCell ref="R112:S112"/>
    <mergeCell ref="P110:Q110"/>
    <mergeCell ref="R110:S110"/>
    <mergeCell ref="U110:V110"/>
    <mergeCell ref="B111:C111"/>
    <mergeCell ref="D111:E111"/>
    <mergeCell ref="F111:G111"/>
    <mergeCell ref="H111:I111"/>
    <mergeCell ref="J111:K111"/>
    <mergeCell ref="N111:O111"/>
    <mergeCell ref="P111:Q111"/>
    <mergeCell ref="B110:C110"/>
    <mergeCell ref="D110:E110"/>
    <mergeCell ref="F110:G110"/>
    <mergeCell ref="H110:I110"/>
    <mergeCell ref="J110:K110"/>
    <mergeCell ref="N110:O110"/>
    <mergeCell ref="P114:Q114"/>
    <mergeCell ref="R114:S114"/>
    <mergeCell ref="U114:V114"/>
    <mergeCell ref="B115:C115"/>
    <mergeCell ref="D115:E115"/>
    <mergeCell ref="F115:G115"/>
    <mergeCell ref="H115:I115"/>
    <mergeCell ref="J115:K115"/>
    <mergeCell ref="N115:O115"/>
    <mergeCell ref="P115:Q115"/>
    <mergeCell ref="B114:C114"/>
    <mergeCell ref="D114:E114"/>
    <mergeCell ref="F114:G114"/>
    <mergeCell ref="H114:I114"/>
    <mergeCell ref="J114:K114"/>
    <mergeCell ref="N114:O114"/>
    <mergeCell ref="U112:V112"/>
    <mergeCell ref="B113:C113"/>
    <mergeCell ref="D113:E113"/>
    <mergeCell ref="F113:G113"/>
    <mergeCell ref="H113:I113"/>
    <mergeCell ref="J113:K113"/>
    <mergeCell ref="N113:O113"/>
    <mergeCell ref="P113:Q113"/>
    <mergeCell ref="R113:S113"/>
    <mergeCell ref="U113:V113"/>
    <mergeCell ref="U116:V116"/>
    <mergeCell ref="B117:C117"/>
    <mergeCell ref="D117:E117"/>
    <mergeCell ref="F117:G117"/>
    <mergeCell ref="H117:I117"/>
    <mergeCell ref="J117:K117"/>
    <mergeCell ref="N117:O117"/>
    <mergeCell ref="P117:Q117"/>
    <mergeCell ref="R117:S117"/>
    <mergeCell ref="U117:V117"/>
    <mergeCell ref="R115:S115"/>
    <mergeCell ref="U115:V115"/>
    <mergeCell ref="B116:C116"/>
    <mergeCell ref="D116:E116"/>
    <mergeCell ref="F116:G116"/>
    <mergeCell ref="H116:I116"/>
    <mergeCell ref="J116:K116"/>
    <mergeCell ref="N116:O116"/>
    <mergeCell ref="P116:Q116"/>
    <mergeCell ref="R116:S116"/>
    <mergeCell ref="R119:S119"/>
    <mergeCell ref="U119:V119"/>
    <mergeCell ref="B120:C120"/>
    <mergeCell ref="D120:E120"/>
    <mergeCell ref="F120:G120"/>
    <mergeCell ref="H120:I120"/>
    <mergeCell ref="J120:K120"/>
    <mergeCell ref="N120:O120"/>
    <mergeCell ref="P120:Q120"/>
    <mergeCell ref="R120:S120"/>
    <mergeCell ref="P118:Q118"/>
    <mergeCell ref="R118:S118"/>
    <mergeCell ref="U118:V118"/>
    <mergeCell ref="B119:C119"/>
    <mergeCell ref="D119:E119"/>
    <mergeCell ref="F119:G119"/>
    <mergeCell ref="H119:I119"/>
    <mergeCell ref="J119:K119"/>
    <mergeCell ref="N119:O119"/>
    <mergeCell ref="P119:Q119"/>
    <mergeCell ref="B118:C118"/>
    <mergeCell ref="D118:E118"/>
    <mergeCell ref="F118:G118"/>
    <mergeCell ref="H118:I118"/>
    <mergeCell ref="J118:K118"/>
    <mergeCell ref="N118:O118"/>
    <mergeCell ref="P122:Q122"/>
    <mergeCell ref="R122:S122"/>
    <mergeCell ref="U122:V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U120:V120"/>
    <mergeCell ref="B121:C121"/>
    <mergeCell ref="D121:E121"/>
    <mergeCell ref="F121:G121"/>
    <mergeCell ref="H121:I121"/>
    <mergeCell ref="J121:K121"/>
    <mergeCell ref="N121:O121"/>
    <mergeCell ref="P121:Q121"/>
    <mergeCell ref="R121:S121"/>
    <mergeCell ref="U121:V121"/>
    <mergeCell ref="U124:V124"/>
    <mergeCell ref="B125:C125"/>
    <mergeCell ref="D125:E125"/>
    <mergeCell ref="F125:G125"/>
    <mergeCell ref="H125:I125"/>
    <mergeCell ref="J125:K125"/>
    <mergeCell ref="N125:O125"/>
    <mergeCell ref="P125:Q125"/>
    <mergeCell ref="R125:S125"/>
    <mergeCell ref="U125:V125"/>
    <mergeCell ref="R123:S123"/>
    <mergeCell ref="U123:V123"/>
    <mergeCell ref="B124:C124"/>
    <mergeCell ref="D124:E124"/>
    <mergeCell ref="F124:G124"/>
    <mergeCell ref="H124:I124"/>
    <mergeCell ref="J124:K124"/>
    <mergeCell ref="N124:O124"/>
    <mergeCell ref="P124:Q124"/>
    <mergeCell ref="R124:S124"/>
    <mergeCell ref="R127:S127"/>
    <mergeCell ref="U127:V127"/>
    <mergeCell ref="B128:C128"/>
    <mergeCell ref="D128:E128"/>
    <mergeCell ref="F128:G128"/>
    <mergeCell ref="H128:I128"/>
    <mergeCell ref="J128:K128"/>
    <mergeCell ref="N128:O128"/>
    <mergeCell ref="P128:Q128"/>
    <mergeCell ref="R128:S128"/>
    <mergeCell ref="P126:Q126"/>
    <mergeCell ref="R126:S126"/>
    <mergeCell ref="U126:V126"/>
    <mergeCell ref="B127:C127"/>
    <mergeCell ref="D127:E127"/>
    <mergeCell ref="F127:G127"/>
    <mergeCell ref="H127:I127"/>
    <mergeCell ref="J127:K127"/>
    <mergeCell ref="N127:O127"/>
    <mergeCell ref="P127:Q127"/>
    <mergeCell ref="B126:C126"/>
    <mergeCell ref="D126:E126"/>
    <mergeCell ref="F126:G126"/>
    <mergeCell ref="H126:I126"/>
    <mergeCell ref="J126:K126"/>
    <mergeCell ref="N126:O126"/>
    <mergeCell ref="P130:Q130"/>
    <mergeCell ref="R130:S130"/>
    <mergeCell ref="U130:V130"/>
    <mergeCell ref="B131:C131"/>
    <mergeCell ref="D131:E131"/>
    <mergeCell ref="F131:G131"/>
    <mergeCell ref="H131:I131"/>
    <mergeCell ref="J131:K131"/>
    <mergeCell ref="N131:O131"/>
    <mergeCell ref="P131:Q131"/>
    <mergeCell ref="B130:C130"/>
    <mergeCell ref="D130:E130"/>
    <mergeCell ref="F130:G130"/>
    <mergeCell ref="H130:I130"/>
    <mergeCell ref="J130:K130"/>
    <mergeCell ref="N130:O130"/>
    <mergeCell ref="U128:V128"/>
    <mergeCell ref="B129:C129"/>
    <mergeCell ref="D129:E129"/>
    <mergeCell ref="F129:G129"/>
    <mergeCell ref="H129:I129"/>
    <mergeCell ref="J129:K129"/>
    <mergeCell ref="N129:O129"/>
    <mergeCell ref="P129:Q129"/>
    <mergeCell ref="R129:S129"/>
    <mergeCell ref="U129:V129"/>
    <mergeCell ref="U132:V132"/>
    <mergeCell ref="B133:C133"/>
    <mergeCell ref="D133:E133"/>
    <mergeCell ref="F133:G133"/>
    <mergeCell ref="H133:I133"/>
    <mergeCell ref="J133:K133"/>
    <mergeCell ref="N133:O133"/>
    <mergeCell ref="P133:Q133"/>
    <mergeCell ref="R133:S133"/>
    <mergeCell ref="U133:V133"/>
    <mergeCell ref="R131:S131"/>
    <mergeCell ref="U131:V131"/>
    <mergeCell ref="B132:C132"/>
    <mergeCell ref="D132:E132"/>
    <mergeCell ref="F132:G132"/>
    <mergeCell ref="H132:I132"/>
    <mergeCell ref="J132:K132"/>
    <mergeCell ref="N132:O132"/>
    <mergeCell ref="P132:Q132"/>
    <mergeCell ref="R132:S132"/>
    <mergeCell ref="R135:S135"/>
    <mergeCell ref="U135:V135"/>
    <mergeCell ref="B136:C136"/>
    <mergeCell ref="D136:E136"/>
    <mergeCell ref="F136:G136"/>
    <mergeCell ref="H136:I136"/>
    <mergeCell ref="J136:K136"/>
    <mergeCell ref="N136:O136"/>
    <mergeCell ref="P136:Q136"/>
    <mergeCell ref="R136:S136"/>
    <mergeCell ref="P134:Q134"/>
    <mergeCell ref="R134:S134"/>
    <mergeCell ref="U134:V134"/>
    <mergeCell ref="B135:C135"/>
    <mergeCell ref="D135:E135"/>
    <mergeCell ref="F135:G135"/>
    <mergeCell ref="H135:I135"/>
    <mergeCell ref="J135:K135"/>
    <mergeCell ref="N135:O135"/>
    <mergeCell ref="P135:Q135"/>
    <mergeCell ref="B134:C134"/>
    <mergeCell ref="D134:E134"/>
    <mergeCell ref="F134:G134"/>
    <mergeCell ref="H134:I134"/>
    <mergeCell ref="J134:K134"/>
    <mergeCell ref="N134:O134"/>
    <mergeCell ref="P138:Q138"/>
    <mergeCell ref="R138:S138"/>
    <mergeCell ref="U138:V138"/>
    <mergeCell ref="B139:C139"/>
    <mergeCell ref="D139:E139"/>
    <mergeCell ref="F139:G139"/>
    <mergeCell ref="H139:I139"/>
    <mergeCell ref="J139:K139"/>
    <mergeCell ref="N139:O139"/>
    <mergeCell ref="P139:Q139"/>
    <mergeCell ref="B138:C138"/>
    <mergeCell ref="D138:E138"/>
    <mergeCell ref="F138:G138"/>
    <mergeCell ref="H138:I138"/>
    <mergeCell ref="J138:K138"/>
    <mergeCell ref="N138:O138"/>
    <mergeCell ref="U136:V136"/>
    <mergeCell ref="B137:C137"/>
    <mergeCell ref="D137:E137"/>
    <mergeCell ref="F137:G137"/>
    <mergeCell ref="H137:I137"/>
    <mergeCell ref="J137:K137"/>
    <mergeCell ref="N137:O137"/>
    <mergeCell ref="P137:Q137"/>
    <mergeCell ref="R137:S137"/>
    <mergeCell ref="U137:V137"/>
    <mergeCell ref="U140:V140"/>
    <mergeCell ref="B141:C141"/>
    <mergeCell ref="D141:E141"/>
    <mergeCell ref="F141:G141"/>
    <mergeCell ref="H141:I141"/>
    <mergeCell ref="J141:K141"/>
    <mergeCell ref="N141:O141"/>
    <mergeCell ref="P141:Q141"/>
    <mergeCell ref="R141:S141"/>
    <mergeCell ref="U141:V141"/>
    <mergeCell ref="R139:S139"/>
    <mergeCell ref="U139:V139"/>
    <mergeCell ref="B140:C140"/>
    <mergeCell ref="D140:E140"/>
    <mergeCell ref="F140:G140"/>
    <mergeCell ref="H140:I140"/>
    <mergeCell ref="J140:K140"/>
    <mergeCell ref="N140:O140"/>
    <mergeCell ref="P140:Q140"/>
    <mergeCell ref="R140:S140"/>
    <mergeCell ref="R143:S143"/>
    <mergeCell ref="U143:V143"/>
    <mergeCell ref="B144:C144"/>
    <mergeCell ref="D144:E144"/>
    <mergeCell ref="F144:G144"/>
    <mergeCell ref="H144:I144"/>
    <mergeCell ref="J144:K144"/>
    <mergeCell ref="N144:O144"/>
    <mergeCell ref="P144:Q144"/>
    <mergeCell ref="R144:S144"/>
    <mergeCell ref="P142:Q142"/>
    <mergeCell ref="R142:S142"/>
    <mergeCell ref="U142:V142"/>
    <mergeCell ref="B143:C143"/>
    <mergeCell ref="D143:E143"/>
    <mergeCell ref="F143:G143"/>
    <mergeCell ref="H143:I143"/>
    <mergeCell ref="J143:K143"/>
    <mergeCell ref="N143:O143"/>
    <mergeCell ref="P143:Q143"/>
    <mergeCell ref="B142:C142"/>
    <mergeCell ref="D142:E142"/>
    <mergeCell ref="F142:G142"/>
    <mergeCell ref="H142:I142"/>
    <mergeCell ref="J142:K142"/>
    <mergeCell ref="N142:O142"/>
    <mergeCell ref="P146:Q146"/>
    <mergeCell ref="R146:S146"/>
    <mergeCell ref="U146:V146"/>
    <mergeCell ref="B147:C147"/>
    <mergeCell ref="D147:E147"/>
    <mergeCell ref="F147:G147"/>
    <mergeCell ref="H147:I147"/>
    <mergeCell ref="J147:K147"/>
    <mergeCell ref="N147:O147"/>
    <mergeCell ref="P147:Q147"/>
    <mergeCell ref="B146:C146"/>
    <mergeCell ref="D146:E146"/>
    <mergeCell ref="F146:G146"/>
    <mergeCell ref="H146:I146"/>
    <mergeCell ref="J146:K146"/>
    <mergeCell ref="N146:O146"/>
    <mergeCell ref="U144:V144"/>
    <mergeCell ref="B145:C145"/>
    <mergeCell ref="D145:E145"/>
    <mergeCell ref="F145:G145"/>
    <mergeCell ref="H145:I145"/>
    <mergeCell ref="J145:K145"/>
    <mergeCell ref="N145:O145"/>
    <mergeCell ref="P145:Q145"/>
    <mergeCell ref="R145:S145"/>
    <mergeCell ref="U145:V145"/>
    <mergeCell ref="U148:V148"/>
    <mergeCell ref="B149:C149"/>
    <mergeCell ref="D149:E149"/>
    <mergeCell ref="F149:G149"/>
    <mergeCell ref="H149:I149"/>
    <mergeCell ref="J149:K149"/>
    <mergeCell ref="N149:O149"/>
    <mergeCell ref="P149:Q149"/>
    <mergeCell ref="R149:S149"/>
    <mergeCell ref="U149:V149"/>
    <mergeCell ref="R147:S147"/>
    <mergeCell ref="U147:V147"/>
    <mergeCell ref="B148:C148"/>
    <mergeCell ref="D148:E148"/>
    <mergeCell ref="F148:G148"/>
    <mergeCell ref="H148:I148"/>
    <mergeCell ref="J148:K148"/>
    <mergeCell ref="N148:O148"/>
    <mergeCell ref="P148:Q148"/>
    <mergeCell ref="R148:S148"/>
    <mergeCell ref="R151:S151"/>
    <mergeCell ref="U151:V151"/>
    <mergeCell ref="B152:C152"/>
    <mergeCell ref="D152:E152"/>
    <mergeCell ref="F152:G152"/>
    <mergeCell ref="H152:I152"/>
    <mergeCell ref="J152:K152"/>
    <mergeCell ref="N152:O152"/>
    <mergeCell ref="P152:Q152"/>
    <mergeCell ref="R152:S152"/>
    <mergeCell ref="P150:Q150"/>
    <mergeCell ref="R150:S150"/>
    <mergeCell ref="U150:V150"/>
    <mergeCell ref="B151:C151"/>
    <mergeCell ref="D151:E151"/>
    <mergeCell ref="F151:G151"/>
    <mergeCell ref="H151:I151"/>
    <mergeCell ref="J151:K151"/>
    <mergeCell ref="N151:O151"/>
    <mergeCell ref="P151:Q151"/>
    <mergeCell ref="B150:C150"/>
    <mergeCell ref="D150:E150"/>
    <mergeCell ref="F150:G150"/>
    <mergeCell ref="H150:I150"/>
    <mergeCell ref="J150:K150"/>
    <mergeCell ref="N150:O150"/>
    <mergeCell ref="P154:Q154"/>
    <mergeCell ref="R154:S154"/>
    <mergeCell ref="U154:V154"/>
    <mergeCell ref="B155:C155"/>
    <mergeCell ref="D155:E155"/>
    <mergeCell ref="F155:G155"/>
    <mergeCell ref="H155:I155"/>
    <mergeCell ref="J155:K155"/>
    <mergeCell ref="N155:O155"/>
    <mergeCell ref="P155:Q155"/>
    <mergeCell ref="B154:C154"/>
    <mergeCell ref="D154:E154"/>
    <mergeCell ref="F154:G154"/>
    <mergeCell ref="H154:I154"/>
    <mergeCell ref="J154:K154"/>
    <mergeCell ref="N154:O154"/>
    <mergeCell ref="U152:V152"/>
    <mergeCell ref="B153:C153"/>
    <mergeCell ref="D153:E153"/>
    <mergeCell ref="F153:G153"/>
    <mergeCell ref="H153:I153"/>
    <mergeCell ref="J153:K153"/>
    <mergeCell ref="N153:O153"/>
    <mergeCell ref="P153:Q153"/>
    <mergeCell ref="R153:S153"/>
    <mergeCell ref="U153:V153"/>
    <mergeCell ref="U156:V156"/>
    <mergeCell ref="B157:C157"/>
    <mergeCell ref="D157:E157"/>
    <mergeCell ref="F157:G157"/>
    <mergeCell ref="H157:I157"/>
    <mergeCell ref="J157:K157"/>
    <mergeCell ref="N157:O157"/>
    <mergeCell ref="P157:Q157"/>
    <mergeCell ref="R157:S157"/>
    <mergeCell ref="U157:V157"/>
    <mergeCell ref="R155:S155"/>
    <mergeCell ref="U155:V155"/>
    <mergeCell ref="B156:C156"/>
    <mergeCell ref="D156:E156"/>
    <mergeCell ref="F156:G156"/>
    <mergeCell ref="H156:I156"/>
    <mergeCell ref="J156:K156"/>
    <mergeCell ref="N156:O156"/>
    <mergeCell ref="P156:Q156"/>
    <mergeCell ref="R156:S156"/>
    <mergeCell ref="R159:S159"/>
    <mergeCell ref="U159:V159"/>
    <mergeCell ref="B160:C160"/>
    <mergeCell ref="D160:E160"/>
    <mergeCell ref="F160:G160"/>
    <mergeCell ref="H160:I160"/>
    <mergeCell ref="J160:K160"/>
    <mergeCell ref="N160:O160"/>
    <mergeCell ref="P160:Q160"/>
    <mergeCell ref="R160:S160"/>
    <mergeCell ref="P158:Q158"/>
    <mergeCell ref="R158:S158"/>
    <mergeCell ref="U158:V158"/>
    <mergeCell ref="B159:C159"/>
    <mergeCell ref="D159:E159"/>
    <mergeCell ref="F159:G159"/>
    <mergeCell ref="H159:I159"/>
    <mergeCell ref="J159:K159"/>
    <mergeCell ref="N159:O159"/>
    <mergeCell ref="P159:Q159"/>
    <mergeCell ref="B158:C158"/>
    <mergeCell ref="D158:E158"/>
    <mergeCell ref="F158:G158"/>
    <mergeCell ref="H158:I158"/>
    <mergeCell ref="J158:K158"/>
    <mergeCell ref="N158:O158"/>
    <mergeCell ref="P162:Q162"/>
    <mergeCell ref="R162:S162"/>
    <mergeCell ref="U162:V162"/>
    <mergeCell ref="B163:C163"/>
    <mergeCell ref="D163:E163"/>
    <mergeCell ref="F163:G163"/>
    <mergeCell ref="H163:I163"/>
    <mergeCell ref="J163:K163"/>
    <mergeCell ref="N163:O163"/>
    <mergeCell ref="P163:Q163"/>
    <mergeCell ref="B162:C162"/>
    <mergeCell ref="D162:E162"/>
    <mergeCell ref="F162:G162"/>
    <mergeCell ref="H162:I162"/>
    <mergeCell ref="J162:K162"/>
    <mergeCell ref="N162:O162"/>
    <mergeCell ref="U160:V160"/>
    <mergeCell ref="B161:C161"/>
    <mergeCell ref="D161:E161"/>
    <mergeCell ref="F161:G161"/>
    <mergeCell ref="H161:I161"/>
    <mergeCell ref="J161:K161"/>
    <mergeCell ref="N161:O161"/>
    <mergeCell ref="P161:Q161"/>
    <mergeCell ref="R161:S161"/>
    <mergeCell ref="U161:V161"/>
    <mergeCell ref="U164:V164"/>
    <mergeCell ref="B165:C165"/>
    <mergeCell ref="D165:E165"/>
    <mergeCell ref="F165:G165"/>
    <mergeCell ref="H165:I165"/>
    <mergeCell ref="J165:K165"/>
    <mergeCell ref="N165:O165"/>
    <mergeCell ref="P165:Q165"/>
    <mergeCell ref="R165:S165"/>
    <mergeCell ref="U165:V165"/>
    <mergeCell ref="R163:S163"/>
    <mergeCell ref="U163:V163"/>
    <mergeCell ref="B164:C164"/>
    <mergeCell ref="D164:E164"/>
    <mergeCell ref="F164:G164"/>
    <mergeCell ref="H164:I164"/>
    <mergeCell ref="J164:K164"/>
    <mergeCell ref="N164:O164"/>
    <mergeCell ref="P164:Q164"/>
    <mergeCell ref="R164:S164"/>
    <mergeCell ref="R167:S167"/>
    <mergeCell ref="U167:V167"/>
    <mergeCell ref="B168:C168"/>
    <mergeCell ref="D168:E168"/>
    <mergeCell ref="F168:G168"/>
    <mergeCell ref="H168:I168"/>
    <mergeCell ref="J168:K168"/>
    <mergeCell ref="N168:O168"/>
    <mergeCell ref="P168:Q168"/>
    <mergeCell ref="R168:S168"/>
    <mergeCell ref="P166:Q166"/>
    <mergeCell ref="R166:S166"/>
    <mergeCell ref="U166:V166"/>
    <mergeCell ref="B167:C167"/>
    <mergeCell ref="D167:E167"/>
    <mergeCell ref="F167:G167"/>
    <mergeCell ref="H167:I167"/>
    <mergeCell ref="J167:K167"/>
    <mergeCell ref="N167:O167"/>
    <mergeCell ref="P167:Q167"/>
    <mergeCell ref="B166:C166"/>
    <mergeCell ref="D166:E166"/>
    <mergeCell ref="F166:G166"/>
    <mergeCell ref="H166:I166"/>
    <mergeCell ref="J166:K166"/>
    <mergeCell ref="N166:O166"/>
    <mergeCell ref="P170:Q170"/>
    <mergeCell ref="R170:S170"/>
    <mergeCell ref="U170:V170"/>
    <mergeCell ref="B171:C171"/>
    <mergeCell ref="D171:E171"/>
    <mergeCell ref="F171:G171"/>
    <mergeCell ref="H171:I171"/>
    <mergeCell ref="J171:K171"/>
    <mergeCell ref="N171:O171"/>
    <mergeCell ref="P171:Q171"/>
    <mergeCell ref="B170:C170"/>
    <mergeCell ref="D170:E170"/>
    <mergeCell ref="F170:G170"/>
    <mergeCell ref="H170:I170"/>
    <mergeCell ref="J170:K170"/>
    <mergeCell ref="N170:O170"/>
    <mergeCell ref="U168:V168"/>
    <mergeCell ref="B169:C169"/>
    <mergeCell ref="D169:E169"/>
    <mergeCell ref="F169:G169"/>
    <mergeCell ref="H169:I169"/>
    <mergeCell ref="J169:K169"/>
    <mergeCell ref="N169:O169"/>
    <mergeCell ref="P169:Q169"/>
    <mergeCell ref="R169:S169"/>
    <mergeCell ref="U169:V169"/>
    <mergeCell ref="R172:S172"/>
    <mergeCell ref="T172:U172"/>
    <mergeCell ref="V172:X172"/>
    <mergeCell ref="B173:C173"/>
    <mergeCell ref="D173:E173"/>
    <mergeCell ref="F173:G173"/>
    <mergeCell ref="H173:I173"/>
    <mergeCell ref="J173:K173"/>
    <mergeCell ref="N173:O173"/>
    <mergeCell ref="P173:Q173"/>
    <mergeCell ref="R171:S171"/>
    <mergeCell ref="T171:U171"/>
    <mergeCell ref="V171:X171"/>
    <mergeCell ref="B172:C172"/>
    <mergeCell ref="D172:E172"/>
    <mergeCell ref="F172:G172"/>
    <mergeCell ref="H172:I172"/>
    <mergeCell ref="J172:K172"/>
    <mergeCell ref="N172:O172"/>
    <mergeCell ref="P172:Q172"/>
    <mergeCell ref="R174:S174"/>
    <mergeCell ref="T174:U174"/>
    <mergeCell ref="V174:X174"/>
    <mergeCell ref="B175:C175"/>
    <mergeCell ref="D175:E175"/>
    <mergeCell ref="F175:G175"/>
    <mergeCell ref="H175:I175"/>
    <mergeCell ref="J175:K175"/>
    <mergeCell ref="N175:O175"/>
    <mergeCell ref="P175:Q175"/>
    <mergeCell ref="R173:S173"/>
    <mergeCell ref="T173:U173"/>
    <mergeCell ref="V173:X173"/>
    <mergeCell ref="B174:C174"/>
    <mergeCell ref="D174:E174"/>
    <mergeCell ref="F174:G174"/>
    <mergeCell ref="H174:I174"/>
    <mergeCell ref="J174:K174"/>
    <mergeCell ref="N174:O174"/>
    <mergeCell ref="P174:Q174"/>
    <mergeCell ref="R176:S176"/>
    <mergeCell ref="T176:U176"/>
    <mergeCell ref="V176:X176"/>
    <mergeCell ref="B177:C177"/>
    <mergeCell ref="D177:E177"/>
    <mergeCell ref="F177:G177"/>
    <mergeCell ref="H177:I177"/>
    <mergeCell ref="J177:K177"/>
    <mergeCell ref="N177:O177"/>
    <mergeCell ref="P177:Q177"/>
    <mergeCell ref="R175:S175"/>
    <mergeCell ref="T175:U175"/>
    <mergeCell ref="V175:X175"/>
    <mergeCell ref="B176:C176"/>
    <mergeCell ref="D176:E176"/>
    <mergeCell ref="F176:G176"/>
    <mergeCell ref="H176:I176"/>
    <mergeCell ref="J176:K176"/>
    <mergeCell ref="N176:O176"/>
    <mergeCell ref="P176:Q176"/>
    <mergeCell ref="R178:S178"/>
    <mergeCell ref="T178:U178"/>
    <mergeCell ref="V178:X178"/>
    <mergeCell ref="B179:C179"/>
    <mergeCell ref="D179:E179"/>
    <mergeCell ref="F179:G179"/>
    <mergeCell ref="H179:I179"/>
    <mergeCell ref="J179:K179"/>
    <mergeCell ref="N179:O179"/>
    <mergeCell ref="P179:Q179"/>
    <mergeCell ref="R177:S177"/>
    <mergeCell ref="T177:U177"/>
    <mergeCell ref="V177:X177"/>
    <mergeCell ref="B178:C178"/>
    <mergeCell ref="D178:E178"/>
    <mergeCell ref="F178:G178"/>
    <mergeCell ref="H178:I178"/>
    <mergeCell ref="J178:K178"/>
    <mergeCell ref="N178:O178"/>
    <mergeCell ref="P178:Q178"/>
    <mergeCell ref="R180:S180"/>
    <mergeCell ref="T180:U180"/>
    <mergeCell ref="V180:X180"/>
    <mergeCell ref="B181:C181"/>
    <mergeCell ref="D181:E181"/>
    <mergeCell ref="F181:G181"/>
    <mergeCell ref="H181:I181"/>
    <mergeCell ref="J181:K181"/>
    <mergeCell ref="N181:O181"/>
    <mergeCell ref="P181:Q181"/>
    <mergeCell ref="R179:S179"/>
    <mergeCell ref="T179:U179"/>
    <mergeCell ref="V179:X179"/>
    <mergeCell ref="B180:C180"/>
    <mergeCell ref="D180:E180"/>
    <mergeCell ref="F180:G180"/>
    <mergeCell ref="H180:I180"/>
    <mergeCell ref="J180:K180"/>
    <mergeCell ref="N180:O180"/>
    <mergeCell ref="P180:Q180"/>
    <mergeCell ref="R182:S182"/>
    <mergeCell ref="T182:U182"/>
    <mergeCell ref="V182:X182"/>
    <mergeCell ref="B183:C183"/>
    <mergeCell ref="D183:E183"/>
    <mergeCell ref="F183:G183"/>
    <mergeCell ref="H183:I183"/>
    <mergeCell ref="J183:K183"/>
    <mergeCell ref="N183:O183"/>
    <mergeCell ref="P183:Q183"/>
    <mergeCell ref="R181:S181"/>
    <mergeCell ref="T181:U181"/>
    <mergeCell ref="V181:X181"/>
    <mergeCell ref="B182:C182"/>
    <mergeCell ref="D182:E182"/>
    <mergeCell ref="F182:G182"/>
    <mergeCell ref="H182:I182"/>
    <mergeCell ref="J182:K182"/>
    <mergeCell ref="N182:O182"/>
    <mergeCell ref="P182:Q182"/>
    <mergeCell ref="R184:S184"/>
    <mergeCell ref="T184:U184"/>
    <mergeCell ref="V184:X184"/>
    <mergeCell ref="B185:C185"/>
    <mergeCell ref="D185:E185"/>
    <mergeCell ref="F185:G185"/>
    <mergeCell ref="H185:I185"/>
    <mergeCell ref="J185:K185"/>
    <mergeCell ref="N185:O185"/>
    <mergeCell ref="P185:Q185"/>
    <mergeCell ref="R183:S183"/>
    <mergeCell ref="T183:U183"/>
    <mergeCell ref="V183:X183"/>
    <mergeCell ref="B184:C184"/>
    <mergeCell ref="D184:E184"/>
    <mergeCell ref="F184:G184"/>
    <mergeCell ref="H184:I184"/>
    <mergeCell ref="J184:K184"/>
    <mergeCell ref="N184:O184"/>
    <mergeCell ref="P184:Q184"/>
    <mergeCell ref="R186:S186"/>
    <mergeCell ref="T186:U186"/>
    <mergeCell ref="V186:X186"/>
    <mergeCell ref="B187:C187"/>
    <mergeCell ref="D187:E187"/>
    <mergeCell ref="F187:G187"/>
    <mergeCell ref="H187:I187"/>
    <mergeCell ref="J187:K187"/>
    <mergeCell ref="N187:O187"/>
    <mergeCell ref="P187:Q187"/>
    <mergeCell ref="R185:S185"/>
    <mergeCell ref="T185:U185"/>
    <mergeCell ref="V185:X185"/>
    <mergeCell ref="B186:C186"/>
    <mergeCell ref="D186:E186"/>
    <mergeCell ref="F186:G186"/>
    <mergeCell ref="H186:I186"/>
    <mergeCell ref="J186:K186"/>
    <mergeCell ref="N186:O186"/>
    <mergeCell ref="P186:Q186"/>
    <mergeCell ref="R188:S188"/>
    <mergeCell ref="T188:U188"/>
    <mergeCell ref="V188:X188"/>
    <mergeCell ref="B189:C189"/>
    <mergeCell ref="D189:E189"/>
    <mergeCell ref="F189:G189"/>
    <mergeCell ref="H189:I189"/>
    <mergeCell ref="J189:K189"/>
    <mergeCell ref="N189:O189"/>
    <mergeCell ref="P189:Q189"/>
    <mergeCell ref="R187:S187"/>
    <mergeCell ref="T187:U187"/>
    <mergeCell ref="V187:X187"/>
    <mergeCell ref="B188:C188"/>
    <mergeCell ref="D188:E188"/>
    <mergeCell ref="F188:G188"/>
    <mergeCell ref="H188:I188"/>
    <mergeCell ref="J188:K188"/>
    <mergeCell ref="N188:O188"/>
    <mergeCell ref="P188:Q188"/>
    <mergeCell ref="R190:S190"/>
    <mergeCell ref="T190:U190"/>
    <mergeCell ref="V190:X190"/>
    <mergeCell ref="B191:C191"/>
    <mergeCell ref="D191:E191"/>
    <mergeCell ref="F191:G191"/>
    <mergeCell ref="H191:I191"/>
    <mergeCell ref="J191:K191"/>
    <mergeCell ref="N191:O191"/>
    <mergeCell ref="P191:Q191"/>
    <mergeCell ref="R189:S189"/>
    <mergeCell ref="T189:U189"/>
    <mergeCell ref="V189:X189"/>
    <mergeCell ref="B190:C190"/>
    <mergeCell ref="D190:E190"/>
    <mergeCell ref="F190:G190"/>
    <mergeCell ref="H190:I190"/>
    <mergeCell ref="J190:K190"/>
    <mergeCell ref="N190:O190"/>
    <mergeCell ref="P190:Q190"/>
    <mergeCell ref="R192:S192"/>
    <mergeCell ref="T192:U192"/>
    <mergeCell ref="V192:X192"/>
    <mergeCell ref="B193:C193"/>
    <mergeCell ref="D193:E193"/>
    <mergeCell ref="F193:G193"/>
    <mergeCell ref="H193:I193"/>
    <mergeCell ref="J193:K193"/>
    <mergeCell ref="N193:O193"/>
    <mergeCell ref="P193:Q193"/>
    <mergeCell ref="R191:S191"/>
    <mergeCell ref="T191:U191"/>
    <mergeCell ref="V191:X191"/>
    <mergeCell ref="B192:C192"/>
    <mergeCell ref="D192:E192"/>
    <mergeCell ref="F192:G192"/>
    <mergeCell ref="H192:I192"/>
    <mergeCell ref="J192:K192"/>
    <mergeCell ref="N192:O192"/>
    <mergeCell ref="P192:Q192"/>
    <mergeCell ref="R194:S194"/>
    <mergeCell ref="T194:U194"/>
    <mergeCell ref="V194:X194"/>
    <mergeCell ref="B195:C195"/>
    <mergeCell ref="D195:E195"/>
    <mergeCell ref="F195:G195"/>
    <mergeCell ref="H195:I195"/>
    <mergeCell ref="J195:K195"/>
    <mergeCell ref="N195:O195"/>
    <mergeCell ref="P195:Q195"/>
    <mergeCell ref="R193:S193"/>
    <mergeCell ref="T193:U193"/>
    <mergeCell ref="V193:X193"/>
    <mergeCell ref="B194:C194"/>
    <mergeCell ref="D194:E194"/>
    <mergeCell ref="F194:G194"/>
    <mergeCell ref="H194:I194"/>
    <mergeCell ref="J194:K194"/>
    <mergeCell ref="N194:O194"/>
    <mergeCell ref="P194:Q194"/>
    <mergeCell ref="R196:S196"/>
    <mergeCell ref="T196:U196"/>
    <mergeCell ref="V196:X196"/>
    <mergeCell ref="B197:C197"/>
    <mergeCell ref="D197:E197"/>
    <mergeCell ref="F197:G197"/>
    <mergeCell ref="H197:I197"/>
    <mergeCell ref="J197:K197"/>
    <mergeCell ref="N197:O197"/>
    <mergeCell ref="P197:Q197"/>
    <mergeCell ref="R195:S195"/>
    <mergeCell ref="T195:U195"/>
    <mergeCell ref="V195:X195"/>
    <mergeCell ref="B196:C196"/>
    <mergeCell ref="D196:E196"/>
    <mergeCell ref="F196:G196"/>
    <mergeCell ref="H196:I196"/>
    <mergeCell ref="J196:K196"/>
    <mergeCell ref="N196:O196"/>
    <mergeCell ref="P196:Q196"/>
    <mergeCell ref="R198:S198"/>
    <mergeCell ref="T198:U198"/>
    <mergeCell ref="V198:X198"/>
    <mergeCell ref="B199:C199"/>
    <mergeCell ref="D199:E199"/>
    <mergeCell ref="F199:G199"/>
    <mergeCell ref="H199:I199"/>
    <mergeCell ref="J199:K199"/>
    <mergeCell ref="N199:O199"/>
    <mergeCell ref="P199:Q199"/>
    <mergeCell ref="R197:S197"/>
    <mergeCell ref="T197:U197"/>
    <mergeCell ref="V197:X197"/>
    <mergeCell ref="B198:C198"/>
    <mergeCell ref="D198:E198"/>
    <mergeCell ref="F198:G198"/>
    <mergeCell ref="H198:I198"/>
    <mergeCell ref="J198:K198"/>
    <mergeCell ref="N198:O198"/>
    <mergeCell ref="P198:Q198"/>
    <mergeCell ref="R200:S200"/>
    <mergeCell ref="T200:U200"/>
    <mergeCell ref="V200:X200"/>
    <mergeCell ref="B201:C201"/>
    <mergeCell ref="D201:E201"/>
    <mergeCell ref="F201:G201"/>
    <mergeCell ref="H201:I201"/>
    <mergeCell ref="J201:K201"/>
    <mergeCell ref="N201:O201"/>
    <mergeCell ref="P201:Q201"/>
    <mergeCell ref="R199:S199"/>
    <mergeCell ref="T199:U199"/>
    <mergeCell ref="V199:X199"/>
    <mergeCell ref="B200:C200"/>
    <mergeCell ref="D200:E200"/>
    <mergeCell ref="F200:G200"/>
    <mergeCell ref="H200:I200"/>
    <mergeCell ref="J200:K200"/>
    <mergeCell ref="N200:O200"/>
    <mergeCell ref="P200:Q200"/>
    <mergeCell ref="R202:S202"/>
    <mergeCell ref="T202:U202"/>
    <mergeCell ref="V202:X202"/>
    <mergeCell ref="B203:C203"/>
    <mergeCell ref="D203:E203"/>
    <mergeCell ref="F203:G203"/>
    <mergeCell ref="H203:I203"/>
    <mergeCell ref="J203:K203"/>
    <mergeCell ref="N203:O203"/>
    <mergeCell ref="P203:Q203"/>
    <mergeCell ref="R201:S201"/>
    <mergeCell ref="T201:U201"/>
    <mergeCell ref="V201:X201"/>
    <mergeCell ref="B202:C202"/>
    <mergeCell ref="D202:E202"/>
    <mergeCell ref="F202:G202"/>
    <mergeCell ref="H202:I202"/>
    <mergeCell ref="J202:K202"/>
    <mergeCell ref="N202:O202"/>
    <mergeCell ref="P202:Q202"/>
    <mergeCell ref="R204:S204"/>
    <mergeCell ref="T204:U204"/>
    <mergeCell ref="V204:X204"/>
    <mergeCell ref="B205:C205"/>
    <mergeCell ref="D205:E205"/>
    <mergeCell ref="F205:G205"/>
    <mergeCell ref="H205:I205"/>
    <mergeCell ref="J205:K205"/>
    <mergeCell ref="N205:O205"/>
    <mergeCell ref="P205:Q205"/>
    <mergeCell ref="R203:S203"/>
    <mergeCell ref="T203:U203"/>
    <mergeCell ref="V203:X203"/>
    <mergeCell ref="B204:C204"/>
    <mergeCell ref="D204:E204"/>
    <mergeCell ref="F204:G204"/>
    <mergeCell ref="H204:I204"/>
    <mergeCell ref="J204:K204"/>
    <mergeCell ref="N204:O204"/>
    <mergeCell ref="P204:Q204"/>
    <mergeCell ref="R206:S206"/>
    <mergeCell ref="T206:U206"/>
    <mergeCell ref="V206:X206"/>
    <mergeCell ref="B207:C207"/>
    <mergeCell ref="D207:E207"/>
    <mergeCell ref="F207:G207"/>
    <mergeCell ref="H207:I207"/>
    <mergeCell ref="J207:K207"/>
    <mergeCell ref="N207:O207"/>
    <mergeCell ref="P207:Q207"/>
    <mergeCell ref="R205:S205"/>
    <mergeCell ref="T205:U205"/>
    <mergeCell ref="V205:X205"/>
    <mergeCell ref="B206:C206"/>
    <mergeCell ref="D206:E206"/>
    <mergeCell ref="F206:G206"/>
    <mergeCell ref="H206:I206"/>
    <mergeCell ref="J206:K206"/>
    <mergeCell ref="N206:O206"/>
    <mergeCell ref="P206:Q206"/>
    <mergeCell ref="R208:S208"/>
    <mergeCell ref="T208:U208"/>
    <mergeCell ref="V208:X208"/>
    <mergeCell ref="B209:C209"/>
    <mergeCell ref="D209:E209"/>
    <mergeCell ref="F209:G209"/>
    <mergeCell ref="H209:I209"/>
    <mergeCell ref="J209:K209"/>
    <mergeCell ref="N209:O209"/>
    <mergeCell ref="P209:Q209"/>
    <mergeCell ref="R207:S207"/>
    <mergeCell ref="T207:U207"/>
    <mergeCell ref="V207:X207"/>
    <mergeCell ref="B208:C208"/>
    <mergeCell ref="D208:E208"/>
    <mergeCell ref="F208:G208"/>
    <mergeCell ref="H208:I208"/>
    <mergeCell ref="J208:K208"/>
    <mergeCell ref="N208:O208"/>
    <mergeCell ref="P208:Q208"/>
    <mergeCell ref="R210:S210"/>
    <mergeCell ref="T210:U210"/>
    <mergeCell ref="V210:X210"/>
    <mergeCell ref="B211:C211"/>
    <mergeCell ref="D211:E211"/>
    <mergeCell ref="F211:G211"/>
    <mergeCell ref="H211:I211"/>
    <mergeCell ref="J211:K211"/>
    <mergeCell ref="N211:O211"/>
    <mergeCell ref="P211:Q211"/>
    <mergeCell ref="R209:S209"/>
    <mergeCell ref="T209:U209"/>
    <mergeCell ref="V209:X209"/>
    <mergeCell ref="B210:C210"/>
    <mergeCell ref="D210:E210"/>
    <mergeCell ref="F210:G210"/>
    <mergeCell ref="H210:I210"/>
    <mergeCell ref="J210:K210"/>
    <mergeCell ref="N210:O210"/>
    <mergeCell ref="P210:Q210"/>
    <mergeCell ref="R212:S212"/>
    <mergeCell ref="T212:U212"/>
    <mergeCell ref="V212:X212"/>
    <mergeCell ref="B213:C213"/>
    <mergeCell ref="D213:E213"/>
    <mergeCell ref="F213:G213"/>
    <mergeCell ref="H213:I213"/>
    <mergeCell ref="J213:K213"/>
    <mergeCell ref="N213:O213"/>
    <mergeCell ref="P213:Q213"/>
    <mergeCell ref="R211:S211"/>
    <mergeCell ref="T211:U211"/>
    <mergeCell ref="V211:X211"/>
    <mergeCell ref="B212:C212"/>
    <mergeCell ref="D212:E212"/>
    <mergeCell ref="F212:G212"/>
    <mergeCell ref="H212:I212"/>
    <mergeCell ref="J212:K212"/>
    <mergeCell ref="N212:O212"/>
    <mergeCell ref="P212:Q212"/>
    <mergeCell ref="R214:S214"/>
    <mergeCell ref="T214:U214"/>
    <mergeCell ref="V214:X214"/>
    <mergeCell ref="B215:C215"/>
    <mergeCell ref="D215:E215"/>
    <mergeCell ref="F215:G215"/>
    <mergeCell ref="H215:I215"/>
    <mergeCell ref="J215:K215"/>
    <mergeCell ref="N215:O215"/>
    <mergeCell ref="P215:Q215"/>
    <mergeCell ref="R213:S213"/>
    <mergeCell ref="T213:U213"/>
    <mergeCell ref="V213:X213"/>
    <mergeCell ref="B214:C214"/>
    <mergeCell ref="D214:E214"/>
    <mergeCell ref="F214:G214"/>
    <mergeCell ref="H214:I214"/>
    <mergeCell ref="J214:K214"/>
    <mergeCell ref="N214:O214"/>
    <mergeCell ref="P214:Q214"/>
    <mergeCell ref="R216:S216"/>
    <mergeCell ref="T216:U216"/>
    <mergeCell ref="V216:X216"/>
    <mergeCell ref="B217:C217"/>
    <mergeCell ref="D217:E217"/>
    <mergeCell ref="F217:G217"/>
    <mergeCell ref="H217:I217"/>
    <mergeCell ref="J217:K217"/>
    <mergeCell ref="N217:O217"/>
    <mergeCell ref="P217:Q217"/>
    <mergeCell ref="R215:S215"/>
    <mergeCell ref="T215:U215"/>
    <mergeCell ref="V215:X215"/>
    <mergeCell ref="B216:C216"/>
    <mergeCell ref="D216:E216"/>
    <mergeCell ref="F216:G216"/>
    <mergeCell ref="H216:I216"/>
    <mergeCell ref="J216:K216"/>
    <mergeCell ref="N216:O216"/>
    <mergeCell ref="P216:Q216"/>
    <mergeCell ref="R218:S218"/>
    <mergeCell ref="T218:U218"/>
    <mergeCell ref="V218:X218"/>
    <mergeCell ref="B219:C219"/>
    <mergeCell ref="D219:E219"/>
    <mergeCell ref="F219:G219"/>
    <mergeCell ref="H219:I219"/>
    <mergeCell ref="J219:K219"/>
    <mergeCell ref="N219:O219"/>
    <mergeCell ref="P219:Q219"/>
    <mergeCell ref="R217:S217"/>
    <mergeCell ref="T217:U217"/>
    <mergeCell ref="V217:X217"/>
    <mergeCell ref="B218:C218"/>
    <mergeCell ref="D218:E218"/>
    <mergeCell ref="F218:G218"/>
    <mergeCell ref="H218:I218"/>
    <mergeCell ref="J218:K218"/>
    <mergeCell ref="N218:O218"/>
    <mergeCell ref="P218:Q218"/>
    <mergeCell ref="R220:S220"/>
    <mergeCell ref="T220:U220"/>
    <mergeCell ref="V220:X220"/>
    <mergeCell ref="B221:C221"/>
    <mergeCell ref="D221:E221"/>
    <mergeCell ref="F221:G221"/>
    <mergeCell ref="H221:I221"/>
    <mergeCell ref="J221:K221"/>
    <mergeCell ref="N221:O221"/>
    <mergeCell ref="P221:Q221"/>
    <mergeCell ref="R219:S219"/>
    <mergeCell ref="T219:U219"/>
    <mergeCell ref="V219:X219"/>
    <mergeCell ref="B220:C220"/>
    <mergeCell ref="D220:E220"/>
    <mergeCell ref="F220:G220"/>
    <mergeCell ref="H220:I220"/>
    <mergeCell ref="J220:K220"/>
    <mergeCell ref="N220:O220"/>
    <mergeCell ref="P220:Q220"/>
    <mergeCell ref="R222:S222"/>
    <mergeCell ref="T222:U222"/>
    <mergeCell ref="V222:X222"/>
    <mergeCell ref="B223:C223"/>
    <mergeCell ref="D223:E223"/>
    <mergeCell ref="F223:G223"/>
    <mergeCell ref="H223:I223"/>
    <mergeCell ref="J223:K223"/>
    <mergeCell ref="N223:O223"/>
    <mergeCell ref="P223:Q223"/>
    <mergeCell ref="R221:S221"/>
    <mergeCell ref="T221:U221"/>
    <mergeCell ref="V221:X221"/>
    <mergeCell ref="B222:C222"/>
    <mergeCell ref="D222:E222"/>
    <mergeCell ref="F222:G222"/>
    <mergeCell ref="H222:I222"/>
    <mergeCell ref="J222:K222"/>
    <mergeCell ref="N222:O222"/>
    <mergeCell ref="P222:Q222"/>
    <mergeCell ref="R224:S224"/>
    <mergeCell ref="T224:U224"/>
    <mergeCell ref="V224:X224"/>
    <mergeCell ref="B225:C225"/>
    <mergeCell ref="D225:E225"/>
    <mergeCell ref="F225:G225"/>
    <mergeCell ref="H225:I225"/>
    <mergeCell ref="J225:K225"/>
    <mergeCell ref="N225:O225"/>
    <mergeCell ref="P225:Q225"/>
    <mergeCell ref="R223:S223"/>
    <mergeCell ref="T223:U223"/>
    <mergeCell ref="V223:X223"/>
    <mergeCell ref="B224:C224"/>
    <mergeCell ref="D224:E224"/>
    <mergeCell ref="F224:G224"/>
    <mergeCell ref="H224:I224"/>
    <mergeCell ref="J224:K224"/>
    <mergeCell ref="N224:O224"/>
    <mergeCell ref="P224:Q224"/>
    <mergeCell ref="R226:S226"/>
    <mergeCell ref="T226:U226"/>
    <mergeCell ref="V226:X226"/>
    <mergeCell ref="B227:C227"/>
    <mergeCell ref="D227:E227"/>
    <mergeCell ref="F227:G227"/>
    <mergeCell ref="H227:I227"/>
    <mergeCell ref="J227:K227"/>
    <mergeCell ref="N227:O227"/>
    <mergeCell ref="P227:Q227"/>
    <mergeCell ref="R225:S225"/>
    <mergeCell ref="T225:U225"/>
    <mergeCell ref="V225:X225"/>
    <mergeCell ref="B226:C226"/>
    <mergeCell ref="D226:E226"/>
    <mergeCell ref="F226:G226"/>
    <mergeCell ref="H226:I226"/>
    <mergeCell ref="J226:K226"/>
    <mergeCell ref="N226:O226"/>
    <mergeCell ref="P226:Q226"/>
    <mergeCell ref="R228:S228"/>
    <mergeCell ref="T228:U228"/>
    <mergeCell ref="V228:X228"/>
    <mergeCell ref="B229:C229"/>
    <mergeCell ref="D229:E229"/>
    <mergeCell ref="F229:G229"/>
    <mergeCell ref="H229:I229"/>
    <mergeCell ref="J229:K229"/>
    <mergeCell ref="N229:O229"/>
    <mergeCell ref="P229:Q229"/>
    <mergeCell ref="R227:S227"/>
    <mergeCell ref="T227:U227"/>
    <mergeCell ref="V227:X227"/>
    <mergeCell ref="B228:C228"/>
    <mergeCell ref="D228:E228"/>
    <mergeCell ref="F228:G228"/>
    <mergeCell ref="H228:I228"/>
    <mergeCell ref="J228:K228"/>
    <mergeCell ref="N228:O228"/>
    <mergeCell ref="P228:Q228"/>
    <mergeCell ref="R230:S230"/>
    <mergeCell ref="T230:U230"/>
    <mergeCell ref="V230:X230"/>
    <mergeCell ref="B231:C231"/>
    <mergeCell ref="D231:E231"/>
    <mergeCell ref="F231:G231"/>
    <mergeCell ref="H231:I231"/>
    <mergeCell ref="J231:K231"/>
    <mergeCell ref="N231:O231"/>
    <mergeCell ref="P231:Q231"/>
    <mergeCell ref="R229:S229"/>
    <mergeCell ref="T229:U229"/>
    <mergeCell ref="V229:X229"/>
    <mergeCell ref="B230:C230"/>
    <mergeCell ref="D230:E230"/>
    <mergeCell ref="F230:G230"/>
    <mergeCell ref="H230:I230"/>
    <mergeCell ref="J230:K230"/>
    <mergeCell ref="N230:O230"/>
    <mergeCell ref="P230:Q230"/>
    <mergeCell ref="R232:S232"/>
    <mergeCell ref="T232:U232"/>
    <mergeCell ref="V232:X232"/>
    <mergeCell ref="B233:C233"/>
    <mergeCell ref="D233:E233"/>
    <mergeCell ref="F233:G233"/>
    <mergeCell ref="H233:I233"/>
    <mergeCell ref="J233:K233"/>
    <mergeCell ref="N233:O233"/>
    <mergeCell ref="P233:Q233"/>
    <mergeCell ref="R231:S231"/>
    <mergeCell ref="T231:U231"/>
    <mergeCell ref="V231:X231"/>
    <mergeCell ref="B232:C232"/>
    <mergeCell ref="D232:E232"/>
    <mergeCell ref="F232:G232"/>
    <mergeCell ref="H232:I232"/>
    <mergeCell ref="J232:K232"/>
    <mergeCell ref="N232:O232"/>
    <mergeCell ref="P232:Q232"/>
    <mergeCell ref="R234:S234"/>
    <mergeCell ref="T234:U234"/>
    <mergeCell ref="V234:X234"/>
    <mergeCell ref="B235:C235"/>
    <mergeCell ref="D235:E235"/>
    <mergeCell ref="F235:G235"/>
    <mergeCell ref="H235:I235"/>
    <mergeCell ref="J235:K235"/>
    <mergeCell ref="N235:O235"/>
    <mergeCell ref="P235:Q235"/>
    <mergeCell ref="R233:S233"/>
    <mergeCell ref="T233:U233"/>
    <mergeCell ref="V233:X233"/>
    <mergeCell ref="B234:C234"/>
    <mergeCell ref="D234:E234"/>
    <mergeCell ref="F234:G234"/>
    <mergeCell ref="H234:I234"/>
    <mergeCell ref="J234:K234"/>
    <mergeCell ref="N234:O234"/>
    <mergeCell ref="P234:Q234"/>
    <mergeCell ref="R236:S236"/>
    <mergeCell ref="T236:U236"/>
    <mergeCell ref="V236:X236"/>
    <mergeCell ref="B237:C237"/>
    <mergeCell ref="D237:E237"/>
    <mergeCell ref="F237:G237"/>
    <mergeCell ref="H237:I237"/>
    <mergeCell ref="J237:K237"/>
    <mergeCell ref="N237:O237"/>
    <mergeCell ref="P237:Q237"/>
    <mergeCell ref="R235:S235"/>
    <mergeCell ref="T235:U235"/>
    <mergeCell ref="V235:X235"/>
    <mergeCell ref="B236:C236"/>
    <mergeCell ref="D236:E236"/>
    <mergeCell ref="F236:G236"/>
    <mergeCell ref="H236:I236"/>
    <mergeCell ref="J236:K236"/>
    <mergeCell ref="N236:O236"/>
    <mergeCell ref="P236:Q236"/>
    <mergeCell ref="R238:S238"/>
    <mergeCell ref="T238:U238"/>
    <mergeCell ref="V238:X238"/>
    <mergeCell ref="B239:C239"/>
    <mergeCell ref="D239:E239"/>
    <mergeCell ref="F239:G239"/>
    <mergeCell ref="H239:I239"/>
    <mergeCell ref="J239:K239"/>
    <mergeCell ref="N239:O239"/>
    <mergeCell ref="P239:Q239"/>
    <mergeCell ref="R237:S237"/>
    <mergeCell ref="T237:U237"/>
    <mergeCell ref="V237:X237"/>
    <mergeCell ref="B238:C238"/>
    <mergeCell ref="D238:E238"/>
    <mergeCell ref="F238:G238"/>
    <mergeCell ref="H238:I238"/>
    <mergeCell ref="J238:K238"/>
    <mergeCell ref="N238:O238"/>
    <mergeCell ref="P238:Q238"/>
    <mergeCell ref="R241:S241"/>
    <mergeCell ref="T241:U241"/>
    <mergeCell ref="V241:X241"/>
    <mergeCell ref="R240:S240"/>
    <mergeCell ref="T240:U240"/>
    <mergeCell ref="V240:X240"/>
    <mergeCell ref="B241:C241"/>
    <mergeCell ref="D241:E241"/>
    <mergeCell ref="F241:G241"/>
    <mergeCell ref="H241:I241"/>
    <mergeCell ref="J241:K241"/>
    <mergeCell ref="N241:O241"/>
    <mergeCell ref="P241:Q241"/>
    <mergeCell ref="R239:S239"/>
    <mergeCell ref="T239:U239"/>
    <mergeCell ref="V239:X239"/>
    <mergeCell ref="B240:C240"/>
    <mergeCell ref="D240:E240"/>
    <mergeCell ref="F240:G240"/>
    <mergeCell ref="H240:I240"/>
    <mergeCell ref="J240:K240"/>
    <mergeCell ref="N240:O240"/>
    <mergeCell ref="P240:Q240"/>
  </mergeCells>
  <conditionalFormatting sqref="E13:X14">
    <cfRule type="dataBar" priority="5">
      <dataBar showValue="0">
        <cfvo type="num" val="0"/>
        <cfvo type="num" val="100"/>
        <color rgb="FF2D9D13"/>
      </dataBar>
      <extLst>
        <ext xmlns:x14="http://schemas.microsoft.com/office/spreadsheetml/2009/9/main" uri="{B025F937-C7B1-47D3-B67F-A62EFF666E3E}">
          <x14:id>{AD8D22A8-FF8A-410B-B2F8-A4E209EADD13}</x14:id>
        </ext>
      </extLst>
    </cfRule>
  </conditionalFormatting>
  <conditionalFormatting sqref="U10:X11">
    <cfRule type="cellIs" dxfId="3" priority="3" operator="greaterThan">
      <formula>0</formula>
    </cfRule>
    <cfRule type="cellIs" dxfId="2" priority="4" operator="lessThan">
      <formula>0</formula>
    </cfRule>
  </conditionalFormatting>
  <conditionalFormatting sqref="F10:H11">
    <cfRule type="cellIs" dxfId="1" priority="1" operator="greaterThan">
      <formula>0</formula>
    </cfRule>
    <cfRule type="cellIs" dxfId="0" priority="2" operator="lessThan">
      <formula>0</formula>
    </cfRule>
  </conditionalFormatting>
  <pageMargins left="0.7" right="0.7" top="0.75" bottom="0.75" header="0.3" footer="0.3"/>
  <pageSetup paperSize="9" orientation="portrait" r:id="rId1"/>
  <picture r:id="rId2"/>
  <extLst>
    <ext xmlns:x14="http://schemas.microsoft.com/office/spreadsheetml/2009/9/main" uri="{78C0D931-6437-407d-A8EE-F0AAD7539E65}">
      <x14:conditionalFormattings>
        <x14:conditionalFormatting xmlns:xm="http://schemas.microsoft.com/office/excel/2006/main">
          <x14:cfRule type="dataBar" id="{AD8D22A8-FF8A-410B-B2F8-A4E209EADD13}">
            <x14:dataBar minLength="0" maxLength="100" gradient="0">
              <x14:cfvo type="num">
                <xm:f>0</xm:f>
              </x14:cfvo>
              <x14:cfvo type="num">
                <xm:f>100</xm:f>
              </x14:cfvo>
              <x14:negativeFillColor rgb="FFFF0000"/>
              <x14:axisColor rgb="FF000000"/>
            </x14:dataBar>
          </x14:cfRule>
          <xm:sqref>E13:X14</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F16"/>
  <sheetViews>
    <sheetView showGridLines="0" zoomScaleNormal="100" workbookViewId="0">
      <selection activeCell="B2" sqref="B2"/>
    </sheetView>
  </sheetViews>
  <sheetFormatPr defaultRowHeight="15" x14ac:dyDescent="0.25"/>
  <cols>
    <col min="1" max="1" width="18.140625" customWidth="1"/>
    <col min="2" max="2" width="48.140625" customWidth="1"/>
    <col min="3" max="3" width="53.42578125" customWidth="1"/>
    <col min="4" max="4" width="18" customWidth="1"/>
    <col min="5" max="5" width="19.7109375" customWidth="1"/>
  </cols>
  <sheetData>
    <row r="1" spans="1:6" ht="38.25" customHeight="1" x14ac:dyDescent="0.25">
      <c r="A1" s="64" t="s">
        <v>688</v>
      </c>
      <c r="B1" s="65" t="s">
        <v>777</v>
      </c>
      <c r="C1" s="65" t="s">
        <v>705</v>
      </c>
      <c r="D1" s="64" t="s">
        <v>686</v>
      </c>
      <c r="E1" s="64" t="s">
        <v>687</v>
      </c>
    </row>
    <row r="2" spans="1:6" ht="21.75" customHeight="1" x14ac:dyDescent="0.25">
      <c r="A2" s="19" t="s">
        <v>689</v>
      </c>
      <c r="B2" s="69" t="s">
        <v>803</v>
      </c>
      <c r="C2" s="69" t="s">
        <v>71</v>
      </c>
      <c r="D2" s="20">
        <f>VLOOKUP(C2,'Anlık Veri'!A$78:D$683,3,FALSE)</f>
        <v>83.5</v>
      </c>
      <c r="E2" s="21">
        <f>VLOOKUP(C2,'Anlık Veri'!A$78:D$683,4,FALSE)/100</f>
        <v>-2.3399999999999997E-2</v>
      </c>
      <c r="F2" s="18"/>
    </row>
    <row r="3" spans="1:6" ht="21.75" customHeight="1" x14ac:dyDescent="0.25">
      <c r="A3" s="66" t="s">
        <v>690</v>
      </c>
      <c r="B3" s="70" t="s">
        <v>804</v>
      </c>
      <c r="C3" s="70" t="s">
        <v>82</v>
      </c>
      <c r="D3" s="67">
        <f>VLOOKUP(C3,'Anlık Veri'!A$78:D$683,3,FALSE)</f>
        <v>30.52</v>
      </c>
      <c r="E3" s="68">
        <f>VLOOKUP(C3,'Anlık Veri'!A$78:D$683,4,FALSE)/100</f>
        <v>-1.7399999999999999E-2</v>
      </c>
    </row>
    <row r="4" spans="1:6" ht="21.75" customHeight="1" x14ac:dyDescent="0.25">
      <c r="A4" s="19" t="s">
        <v>691</v>
      </c>
      <c r="B4" s="69" t="s">
        <v>704</v>
      </c>
      <c r="C4" s="69" t="s">
        <v>203</v>
      </c>
      <c r="D4" s="20">
        <f>VLOOKUP(C4,'Anlık Veri'!A$78:D$683,3,FALSE)</f>
        <v>37.340000000000003</v>
      </c>
      <c r="E4" s="21">
        <f>VLOOKUP(C4,'Anlık Veri'!A$78:D$683,4,FALSE)/100</f>
        <v>-1.7399999999999999E-2</v>
      </c>
    </row>
    <row r="5" spans="1:6" ht="21.75" customHeight="1" x14ac:dyDescent="0.25">
      <c r="A5" s="66" t="s">
        <v>692</v>
      </c>
      <c r="B5" s="70" t="s">
        <v>811</v>
      </c>
      <c r="C5" s="70" t="s">
        <v>274</v>
      </c>
      <c r="D5" s="67">
        <f>VLOOKUP(C5,'Anlık Veri'!A$78:D$683,3,FALSE)</f>
        <v>36.200000000000003</v>
      </c>
      <c r="E5" s="68">
        <f>VLOOKUP(C5,'Anlık Veri'!A$78:D$683,4,FALSE)/100</f>
        <v>-2.7900000000000001E-2</v>
      </c>
    </row>
    <row r="6" spans="1:6" ht="21.75" customHeight="1" x14ac:dyDescent="0.25">
      <c r="A6" s="19" t="s">
        <v>693</v>
      </c>
      <c r="B6" s="69" t="s">
        <v>812</v>
      </c>
      <c r="C6" s="69" t="s">
        <v>421</v>
      </c>
      <c r="D6" s="20">
        <f>VLOOKUP(C6,'Anlık Veri'!A$78:D$683,3,FALSE)</f>
        <v>108.8</v>
      </c>
      <c r="E6" s="21">
        <f>VLOOKUP(C6,'Anlık Veri'!A$78:D$683,4,FALSE)/100</f>
        <v>-2.6000000000000002E-2</v>
      </c>
    </row>
    <row r="7" spans="1:6" ht="21.75" customHeight="1" x14ac:dyDescent="0.25">
      <c r="A7" s="66" t="s">
        <v>694</v>
      </c>
      <c r="B7" s="70" t="s">
        <v>813</v>
      </c>
      <c r="C7" s="70" t="s">
        <v>466</v>
      </c>
      <c r="D7" s="67">
        <f>VLOOKUP(C7,'Anlık Veri'!A$78:D$683,3,FALSE)</f>
        <v>522.70000000000005</v>
      </c>
      <c r="E7" s="68">
        <f>VLOOKUP(C7,'Anlık Veri'!A$78:D$683,4,FALSE)/100</f>
        <v>-3.3799999999999997E-2</v>
      </c>
    </row>
    <row r="8" spans="1:6" ht="21.75" customHeight="1" x14ac:dyDescent="0.25">
      <c r="A8" s="19" t="s">
        <v>695</v>
      </c>
      <c r="B8" s="69" t="s">
        <v>814</v>
      </c>
      <c r="C8" s="69" t="s">
        <v>490</v>
      </c>
      <c r="D8" s="20">
        <f>VLOOKUP(C8,'Anlık Veri'!A$78:D$683,3,FALSE)</f>
        <v>11.71</v>
      </c>
      <c r="E8" s="21">
        <f>VLOOKUP(C8,'Anlık Veri'!A$78:D$683,4,FALSE)/100</f>
        <v>-5.1000000000000004E-3</v>
      </c>
    </row>
    <row r="9" spans="1:6" ht="21.75" customHeight="1" x14ac:dyDescent="0.25">
      <c r="A9" s="66" t="s">
        <v>696</v>
      </c>
      <c r="B9" s="70" t="s">
        <v>711</v>
      </c>
      <c r="C9" s="70"/>
      <c r="D9" s="67" t="e">
        <f>VLOOKUP(C9,'Anlık Veri'!A$78:D$683,3,FALSE)</f>
        <v>#N/A</v>
      </c>
      <c r="E9" s="68" t="e">
        <f>VLOOKUP(C9,'Anlık Veri'!A$78:D$683,4,FALSE)/100</f>
        <v>#N/A</v>
      </c>
    </row>
    <row r="10" spans="1:6" ht="21.75" customHeight="1" x14ac:dyDescent="0.25">
      <c r="A10" s="19" t="s">
        <v>697</v>
      </c>
      <c r="B10" s="69" t="s">
        <v>712</v>
      </c>
      <c r="C10" s="69"/>
      <c r="D10" s="20" t="e">
        <f>VLOOKUP(C10,'Anlık Veri'!A$78:D$683,3,FALSE)</f>
        <v>#N/A</v>
      </c>
      <c r="E10" s="21" t="e">
        <f>VLOOKUP(C10,'Anlık Veri'!A$78:D$683,4,FALSE)/100</f>
        <v>#N/A</v>
      </c>
    </row>
    <row r="11" spans="1:6" ht="21.75" customHeight="1" x14ac:dyDescent="0.25">
      <c r="A11" s="66" t="s">
        <v>698</v>
      </c>
      <c r="B11" s="70" t="s">
        <v>713</v>
      </c>
      <c r="C11" s="70"/>
      <c r="D11" s="67" t="e">
        <f>VLOOKUP(C11,'Anlık Veri'!A$78:D$683,3,FALSE)</f>
        <v>#N/A</v>
      </c>
      <c r="E11" s="68" t="e">
        <f>VLOOKUP(C11,'Anlık Veri'!A$78:D$683,4,FALSE)/100</f>
        <v>#N/A</v>
      </c>
    </row>
    <row r="12" spans="1:6" ht="21.75" customHeight="1" x14ac:dyDescent="0.25">
      <c r="A12" s="19" t="s">
        <v>699</v>
      </c>
      <c r="B12" s="69" t="s">
        <v>714</v>
      </c>
      <c r="C12" s="69"/>
      <c r="D12" s="20" t="e">
        <f>VLOOKUP(C12,'Anlık Veri'!A$78:D$683,3,FALSE)</f>
        <v>#N/A</v>
      </c>
      <c r="E12" s="21" t="e">
        <f>VLOOKUP(C12,'Anlık Veri'!A$78:D$683,4,FALSE)/100</f>
        <v>#N/A</v>
      </c>
    </row>
    <row r="13" spans="1:6" ht="21.75" customHeight="1" x14ac:dyDescent="0.25">
      <c r="A13" s="66" t="s">
        <v>700</v>
      </c>
      <c r="B13" s="70" t="s">
        <v>715</v>
      </c>
      <c r="C13" s="70"/>
      <c r="D13" s="67" t="e">
        <f>VLOOKUP(C13,'Anlık Veri'!A$78:D$683,3,FALSE)</f>
        <v>#N/A</v>
      </c>
      <c r="E13" s="68" t="e">
        <f>VLOOKUP(C13,'Anlık Veri'!A$78:D$683,4,FALSE)/100</f>
        <v>#N/A</v>
      </c>
    </row>
    <row r="14" spans="1:6" ht="21.75" customHeight="1" x14ac:dyDescent="0.25">
      <c r="A14" s="19" t="s">
        <v>701</v>
      </c>
      <c r="B14" s="69" t="s">
        <v>716</v>
      </c>
      <c r="C14" s="69"/>
      <c r="D14" s="20" t="e">
        <f>VLOOKUP(C14,'Anlık Veri'!A$78:D$683,3,FALSE)</f>
        <v>#N/A</v>
      </c>
      <c r="E14" s="21" t="e">
        <f>VLOOKUP(C14,'Anlık Veri'!A$78:D$683,4,FALSE)/100</f>
        <v>#N/A</v>
      </c>
    </row>
    <row r="15" spans="1:6" ht="21.75" customHeight="1" x14ac:dyDescent="0.25">
      <c r="A15" s="66" t="s">
        <v>702</v>
      </c>
      <c r="B15" s="70" t="s">
        <v>717</v>
      </c>
      <c r="C15" s="70"/>
      <c r="D15" s="67" t="e">
        <f>VLOOKUP(C15,'Anlık Veri'!A$78:D$683,3,FALSE)</f>
        <v>#N/A</v>
      </c>
      <c r="E15" s="68" t="e">
        <f>VLOOKUP(C15,'Anlık Veri'!A$78:D$683,4,FALSE)/100</f>
        <v>#N/A</v>
      </c>
    </row>
    <row r="16" spans="1:6" ht="21.75" customHeight="1" x14ac:dyDescent="0.25">
      <c r="A16" s="19" t="s">
        <v>703</v>
      </c>
      <c r="B16" s="69" t="s">
        <v>718</v>
      </c>
      <c r="C16" s="69"/>
      <c r="D16" s="20" t="e">
        <f>VLOOKUP(C16,'Anlık Veri'!A$78:D$683,3,FALSE)</f>
        <v>#N/A</v>
      </c>
      <c r="E16" s="21" t="e">
        <f>VLOOKUP(C16,'Anlık Veri'!A$78:D$683,4,FALSE)/100</f>
        <v>#N/A</v>
      </c>
    </row>
  </sheetData>
  <sheetProtection algorithmName="SHA-512" hashValue="5qdZ0+mmD12Krbp0SpCLz9/YkQGPBbonsCXPygV2+SdiHXHIq5AqE6dvXkstk5EU40fwo5fx2dUubouNF4OzUQ==" saltValue="M7X2V5jJXSgLk7dZRkxo4Q==" spinCount="100000" sheet="1" objects="1" scenarios="1"/>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dimension ref="A1:F711"/>
  <sheetViews>
    <sheetView topLeftCell="A55" zoomScale="115" zoomScaleNormal="115" workbookViewId="0">
      <selection activeCell="A77" sqref="A77"/>
    </sheetView>
  </sheetViews>
  <sheetFormatPr defaultRowHeight="15" x14ac:dyDescent="0.25"/>
  <cols>
    <col min="1" max="1" width="41.42578125" style="71" customWidth="1"/>
    <col min="2" max="2" width="13.140625" customWidth="1"/>
    <col min="3" max="3" width="10" customWidth="1"/>
    <col min="4" max="4" width="14" customWidth="1"/>
    <col min="5" max="5" width="16.7109375" customWidth="1"/>
    <col min="6" max="6" width="6.28515625" customWidth="1"/>
  </cols>
  <sheetData>
    <row r="1" spans="1:1" x14ac:dyDescent="0.25">
      <c r="A1" s="71" t="s">
        <v>564</v>
      </c>
    </row>
    <row r="2" spans="1:1" x14ac:dyDescent="0.25">
      <c r="A2" s="71" t="s">
        <v>21</v>
      </c>
    </row>
    <row r="3" spans="1:1" x14ac:dyDescent="0.25">
      <c r="A3" s="71" t="s">
        <v>22</v>
      </c>
    </row>
    <row r="4" spans="1:1" x14ac:dyDescent="0.25">
      <c r="A4" s="71" t="s">
        <v>23</v>
      </c>
    </row>
    <row r="5" spans="1:1" x14ac:dyDescent="0.25">
      <c r="A5" s="71" t="s">
        <v>24</v>
      </c>
    </row>
    <row r="6" spans="1:1" x14ac:dyDescent="0.25">
      <c r="A6" s="71" t="s">
        <v>25</v>
      </c>
    </row>
    <row r="7" spans="1:1" x14ac:dyDescent="0.25">
      <c r="A7" s="71" t="s">
        <v>26</v>
      </c>
    </row>
    <row r="8" spans="1:1" x14ac:dyDescent="0.25">
      <c r="A8" s="71" t="s">
        <v>27</v>
      </c>
    </row>
    <row r="9" spans="1:1" x14ac:dyDescent="0.25">
      <c r="A9" s="71" t="s">
        <v>578</v>
      </c>
    </row>
    <row r="10" spans="1:1" x14ac:dyDescent="0.25">
      <c r="A10" s="71" t="s">
        <v>28</v>
      </c>
    </row>
    <row r="11" spans="1:1" x14ac:dyDescent="0.25">
      <c r="A11" s="71" t="s">
        <v>29</v>
      </c>
    </row>
    <row r="12" spans="1:1" x14ac:dyDescent="0.25">
      <c r="A12" s="71" t="s">
        <v>30</v>
      </c>
    </row>
    <row r="13" spans="1:1" x14ac:dyDescent="0.25">
      <c r="A13" s="71" t="s">
        <v>31</v>
      </c>
    </row>
    <row r="14" spans="1:1" x14ac:dyDescent="0.25">
      <c r="A14" s="71" t="s">
        <v>32</v>
      </c>
    </row>
    <row r="15" spans="1:1" x14ac:dyDescent="0.25">
      <c r="A15" s="71" t="s">
        <v>33</v>
      </c>
    </row>
    <row r="16" spans="1:1" x14ac:dyDescent="0.25">
      <c r="A16" s="71" t="s">
        <v>34</v>
      </c>
    </row>
    <row r="17" spans="1:1" x14ac:dyDescent="0.25">
      <c r="A17" s="71" t="s">
        <v>655</v>
      </c>
    </row>
    <row r="18" spans="1:1" x14ac:dyDescent="0.25">
      <c r="A18" s="71" t="s">
        <v>35</v>
      </c>
    </row>
    <row r="19" spans="1:1" x14ac:dyDescent="0.25">
      <c r="A19" s="71" t="s">
        <v>36</v>
      </c>
    </row>
    <row r="20" spans="1:1" x14ac:dyDescent="0.25">
      <c r="A20" s="71" t="s">
        <v>37</v>
      </c>
    </row>
    <row r="21" spans="1:1" x14ac:dyDescent="0.25">
      <c r="A21" s="71" t="s">
        <v>38</v>
      </c>
    </row>
    <row r="22" spans="1:1" x14ac:dyDescent="0.25">
      <c r="A22" s="71" t="s">
        <v>601</v>
      </c>
    </row>
    <row r="24" spans="1:1" x14ac:dyDescent="0.25">
      <c r="A24" s="71" t="s">
        <v>553</v>
      </c>
    </row>
    <row r="25" spans="1:1" x14ac:dyDescent="0.25">
      <c r="A25" s="71" t="s">
        <v>589</v>
      </c>
    </row>
    <row r="26" spans="1:1" x14ac:dyDescent="0.25">
      <c r="A26" s="71" t="s">
        <v>590</v>
      </c>
    </row>
    <row r="27" spans="1:1" x14ac:dyDescent="0.25">
      <c r="A27" s="71" t="s">
        <v>30</v>
      </c>
    </row>
    <row r="28" spans="1:1" x14ac:dyDescent="0.25">
      <c r="A28" s="71">
        <v>20482048</v>
      </c>
    </row>
    <row r="29" spans="1:1" x14ac:dyDescent="0.25">
      <c r="A29" s="71" t="s">
        <v>565</v>
      </c>
    </row>
    <row r="30" spans="1:1" x14ac:dyDescent="0.25">
      <c r="A30" s="71" t="s">
        <v>566</v>
      </c>
    </row>
    <row r="31" spans="1:1" x14ac:dyDescent="0.25">
      <c r="A31" s="71" t="s">
        <v>39</v>
      </c>
    </row>
    <row r="32" spans="1:1" x14ac:dyDescent="0.25">
      <c r="A32" s="71" t="s">
        <v>805</v>
      </c>
    </row>
    <row r="33" spans="1:1" x14ac:dyDescent="0.25">
      <c r="A33" s="71" t="s">
        <v>573</v>
      </c>
    </row>
    <row r="34" spans="1:1" x14ac:dyDescent="0.25">
      <c r="A34" s="71" t="s">
        <v>663</v>
      </c>
    </row>
    <row r="35" spans="1:1" x14ac:dyDescent="0.25">
      <c r="A35" s="71" t="s">
        <v>816</v>
      </c>
    </row>
    <row r="36" spans="1:1" x14ac:dyDescent="0.25">
      <c r="A36" s="71" t="s">
        <v>806</v>
      </c>
    </row>
    <row r="37" spans="1:1" x14ac:dyDescent="0.25">
      <c r="A37" s="71" t="s">
        <v>572</v>
      </c>
    </row>
    <row r="38" spans="1:1" x14ac:dyDescent="0.25">
      <c r="A38" s="71" t="s">
        <v>568</v>
      </c>
    </row>
    <row r="39" spans="1:1" x14ac:dyDescent="0.25">
      <c r="A39" s="71" t="s">
        <v>567</v>
      </c>
    </row>
    <row r="40" spans="1:1" x14ac:dyDescent="0.25">
      <c r="A40" s="71" t="s">
        <v>807</v>
      </c>
    </row>
    <row r="41" spans="1:1" x14ac:dyDescent="0.25">
      <c r="A41" s="71" t="s">
        <v>808</v>
      </c>
    </row>
    <row r="42" spans="1:1" x14ac:dyDescent="0.25">
      <c r="A42" s="71" t="s">
        <v>656</v>
      </c>
    </row>
    <row r="43" spans="1:1" x14ac:dyDescent="0.25">
      <c r="A43" s="71" t="s">
        <v>569</v>
      </c>
    </row>
    <row r="44" spans="1:1" x14ac:dyDescent="0.25">
      <c r="A44" s="71" t="s">
        <v>574</v>
      </c>
    </row>
    <row r="45" spans="1:1" x14ac:dyDescent="0.25">
      <c r="A45" s="71" t="s">
        <v>570</v>
      </c>
    </row>
    <row r="46" spans="1:1" x14ac:dyDescent="0.25">
      <c r="A46" s="71" t="s">
        <v>809</v>
      </c>
    </row>
    <row r="47" spans="1:1" x14ac:dyDescent="0.25">
      <c r="A47" s="71" t="s">
        <v>571</v>
      </c>
    </row>
    <row r="48" spans="1:1" x14ac:dyDescent="0.25">
      <c r="A48" s="71" t="s">
        <v>577</v>
      </c>
    </row>
    <row r="49" spans="1:1" x14ac:dyDescent="0.25">
      <c r="A49" s="71" t="s">
        <v>27</v>
      </c>
    </row>
    <row r="50" spans="1:1" x14ac:dyDescent="0.25">
      <c r="A50" s="71" t="s">
        <v>40</v>
      </c>
    </row>
    <row r="51" spans="1:1" x14ac:dyDescent="0.25">
      <c r="A51" s="71" t="s">
        <v>41</v>
      </c>
    </row>
    <row r="52" spans="1:1" x14ac:dyDescent="0.25">
      <c r="A52" s="71" t="s">
        <v>42</v>
      </c>
    </row>
    <row r="53" spans="1:1" x14ac:dyDescent="0.25">
      <c r="A53" s="71" t="s">
        <v>43</v>
      </c>
    </row>
    <row r="54" spans="1:1" x14ac:dyDescent="0.25">
      <c r="A54" s="71" t="s">
        <v>44</v>
      </c>
    </row>
    <row r="55" spans="1:1" x14ac:dyDescent="0.25">
      <c r="A55" s="71" t="s">
        <v>45</v>
      </c>
    </row>
    <row r="56" spans="1:1" x14ac:dyDescent="0.25">
      <c r="A56" s="71" t="s">
        <v>46</v>
      </c>
    </row>
    <row r="57" spans="1:1" x14ac:dyDescent="0.25">
      <c r="A57" s="71" t="s">
        <v>47</v>
      </c>
    </row>
    <row r="58" spans="1:1" x14ac:dyDescent="0.25">
      <c r="A58" s="71" t="s">
        <v>48</v>
      </c>
    </row>
    <row r="59" spans="1:1" x14ac:dyDescent="0.25">
      <c r="A59" s="71" t="s">
        <v>579</v>
      </c>
    </row>
    <row r="60" spans="1:1" x14ac:dyDescent="0.25">
      <c r="A60" s="71" t="s">
        <v>49</v>
      </c>
    </row>
    <row r="61" spans="1:1" x14ac:dyDescent="0.25">
      <c r="A61" s="71" t="s">
        <v>4</v>
      </c>
    </row>
    <row r="62" spans="1:1" x14ac:dyDescent="0.25">
      <c r="A62" s="71" t="s">
        <v>6</v>
      </c>
    </row>
    <row r="63" spans="1:1" x14ac:dyDescent="0.25">
      <c r="A63" s="71" t="s">
        <v>50</v>
      </c>
    </row>
    <row r="64" spans="1:1" x14ac:dyDescent="0.25">
      <c r="A64" s="71" t="s">
        <v>5</v>
      </c>
    </row>
    <row r="65" spans="1:6" x14ac:dyDescent="0.25">
      <c r="A65" s="71" t="s">
        <v>15</v>
      </c>
    </row>
    <row r="66" spans="1:6" x14ac:dyDescent="0.25">
      <c r="A66" s="71" t="s">
        <v>51</v>
      </c>
    </row>
    <row r="67" spans="1:6" x14ac:dyDescent="0.25">
      <c r="A67" s="71" t="s">
        <v>9</v>
      </c>
    </row>
    <row r="68" spans="1:6" x14ac:dyDescent="0.25">
      <c r="A68" s="71" t="s">
        <v>7</v>
      </c>
    </row>
    <row r="70" spans="1:6" x14ac:dyDescent="0.25">
      <c r="A70" s="71" t="s">
        <v>818</v>
      </c>
    </row>
    <row r="71" spans="1:6" x14ac:dyDescent="0.25">
      <c r="A71" s="71" t="s">
        <v>819</v>
      </c>
    </row>
    <row r="72" spans="1:6" x14ac:dyDescent="0.25">
      <c r="A72" s="71" t="s">
        <v>820</v>
      </c>
    </row>
    <row r="73" spans="1:6" x14ac:dyDescent="0.25">
      <c r="A73" s="71" t="s">
        <v>821</v>
      </c>
      <c r="E73" s="3"/>
      <c r="F73" s="2"/>
    </row>
    <row r="74" spans="1:6" x14ac:dyDescent="0.25">
      <c r="A74" s="71" t="s">
        <v>822</v>
      </c>
      <c r="E74" s="3"/>
      <c r="F74" s="2"/>
    </row>
    <row r="75" spans="1:6" x14ac:dyDescent="0.25">
      <c r="E75" s="3"/>
      <c r="F75" s="2"/>
    </row>
    <row r="76" spans="1:6" x14ac:dyDescent="0.25">
      <c r="A76" s="71" t="s">
        <v>815</v>
      </c>
      <c r="E76" s="3"/>
      <c r="F76" s="2"/>
    </row>
    <row r="77" spans="1:6" x14ac:dyDescent="0.25">
      <c r="A77" s="71" t="s">
        <v>667</v>
      </c>
      <c r="B77" s="28"/>
      <c r="D77" s="28"/>
      <c r="E77" s="3"/>
      <c r="F77" s="2"/>
    </row>
    <row r="78" spans="1:6" x14ac:dyDescent="0.25">
      <c r="A78" s="71" t="s">
        <v>668</v>
      </c>
      <c r="E78" s="3"/>
      <c r="F78" s="2"/>
    </row>
    <row r="79" spans="1:6" x14ac:dyDescent="0.25">
      <c r="E79" s="3"/>
      <c r="F79" s="2"/>
    </row>
    <row r="80" spans="1:6" x14ac:dyDescent="0.25">
      <c r="A80" s="71" t="s">
        <v>52</v>
      </c>
      <c r="E80" s="3"/>
      <c r="F80" s="2"/>
    </row>
    <row r="81" spans="1:6" x14ac:dyDescent="0.25">
      <c r="A81" s="71" t="s">
        <v>15</v>
      </c>
      <c r="C81" t="s">
        <v>53</v>
      </c>
      <c r="D81" t="s">
        <v>54</v>
      </c>
      <c r="E81" s="3" t="s">
        <v>55</v>
      </c>
      <c r="F81" s="2" t="s">
        <v>56</v>
      </c>
    </row>
    <row r="82" spans="1:6" x14ac:dyDescent="0.25">
      <c r="A82" s="71" t="s">
        <v>57</v>
      </c>
      <c r="C82">
        <v>64.7</v>
      </c>
      <c r="D82">
        <v>-2.63</v>
      </c>
      <c r="E82" s="3">
        <v>5776077.1500000004</v>
      </c>
      <c r="F82" s="2">
        <v>0.51874999999999993</v>
      </c>
    </row>
    <row r="83" spans="1:6" x14ac:dyDescent="0.25">
      <c r="A83" s="71" t="s">
        <v>58</v>
      </c>
      <c r="C83">
        <v>115.4</v>
      </c>
      <c r="D83">
        <v>-1.7</v>
      </c>
      <c r="E83" s="3">
        <v>3054066.1</v>
      </c>
      <c r="F83" s="2">
        <v>0.51736111111111105</v>
      </c>
    </row>
    <row r="84" spans="1:6" x14ac:dyDescent="0.25">
      <c r="A84" s="71" t="s">
        <v>59</v>
      </c>
      <c r="C84">
        <v>1.54</v>
      </c>
      <c r="D84">
        <v>-2.5299999999999998</v>
      </c>
      <c r="E84" s="3">
        <v>47730472.630000003</v>
      </c>
      <c r="F84" s="2">
        <v>0.52013888888888882</v>
      </c>
    </row>
    <row r="85" spans="1:6" x14ac:dyDescent="0.25">
      <c r="A85" s="71" t="s">
        <v>60</v>
      </c>
      <c r="C85">
        <v>59.5</v>
      </c>
      <c r="D85">
        <v>-4.03</v>
      </c>
      <c r="E85" s="3">
        <v>75796934.799999997</v>
      </c>
      <c r="F85" s="2">
        <v>0.52013888888888882</v>
      </c>
    </row>
    <row r="86" spans="1:6" x14ac:dyDescent="0.25">
      <c r="A86" s="71" t="s">
        <v>61</v>
      </c>
      <c r="C86">
        <v>10.1</v>
      </c>
      <c r="D86">
        <v>-2.88</v>
      </c>
      <c r="E86" s="3">
        <v>82313734.400000006</v>
      </c>
      <c r="F86" s="2">
        <v>0.52013888888888882</v>
      </c>
    </row>
    <row r="87" spans="1:6" x14ac:dyDescent="0.25">
      <c r="A87" s="71" t="s">
        <v>62</v>
      </c>
      <c r="C87">
        <v>27.2</v>
      </c>
      <c r="D87">
        <v>0.74</v>
      </c>
      <c r="E87" s="3">
        <v>8771226.8599999994</v>
      </c>
      <c r="F87" s="2">
        <v>0.52013888888888882</v>
      </c>
    </row>
    <row r="88" spans="1:6" x14ac:dyDescent="0.25">
      <c r="A88" s="71" t="s">
        <v>63</v>
      </c>
      <c r="C88">
        <v>96.7</v>
      </c>
      <c r="D88">
        <v>-0.46</v>
      </c>
      <c r="E88" s="3">
        <v>22651277.25</v>
      </c>
      <c r="F88" s="2">
        <v>0.52013888888888882</v>
      </c>
    </row>
    <row r="89" spans="1:6" x14ac:dyDescent="0.25">
      <c r="A89" s="71" t="s">
        <v>64</v>
      </c>
      <c r="C89">
        <v>4.76</v>
      </c>
      <c r="D89">
        <v>-1.45</v>
      </c>
      <c r="E89" s="3">
        <v>3543839.92</v>
      </c>
      <c r="F89" s="2">
        <v>0.52013888888888882</v>
      </c>
    </row>
    <row r="90" spans="1:6" x14ac:dyDescent="0.25">
      <c r="A90" s="71" t="s">
        <v>660</v>
      </c>
      <c r="C90">
        <v>97.15</v>
      </c>
      <c r="D90">
        <v>1.73</v>
      </c>
      <c r="E90" s="3">
        <v>269127853</v>
      </c>
      <c r="F90" s="2">
        <v>0.52013888888888882</v>
      </c>
    </row>
    <row r="91" spans="1:6" x14ac:dyDescent="0.25">
      <c r="A91" s="71" t="s">
        <v>65</v>
      </c>
      <c r="C91">
        <v>18.22</v>
      </c>
      <c r="D91">
        <v>0.05</v>
      </c>
      <c r="E91" s="3">
        <v>919362030.24000001</v>
      </c>
      <c r="F91" s="2">
        <v>0.52013888888888882</v>
      </c>
    </row>
    <row r="92" spans="1:6" x14ac:dyDescent="0.25">
      <c r="A92" s="71" t="s">
        <v>66</v>
      </c>
      <c r="C92">
        <v>59.7</v>
      </c>
      <c r="D92">
        <v>-1.32</v>
      </c>
      <c r="E92" s="3">
        <v>39050145.950000003</v>
      </c>
      <c r="F92" s="2">
        <v>0.52013888888888882</v>
      </c>
    </row>
    <row r="93" spans="1:6" x14ac:dyDescent="0.25">
      <c r="A93" s="71" t="s">
        <v>67</v>
      </c>
      <c r="C93">
        <v>4.78</v>
      </c>
      <c r="D93">
        <v>1.06</v>
      </c>
      <c r="E93" s="3">
        <v>19491324.170000002</v>
      </c>
      <c r="F93" s="2">
        <v>0.52013888888888882</v>
      </c>
    </row>
    <row r="94" spans="1:6" x14ac:dyDescent="0.25">
      <c r="A94" s="71" t="s">
        <v>68</v>
      </c>
      <c r="C94">
        <v>4.03</v>
      </c>
      <c r="D94">
        <v>-0.49</v>
      </c>
      <c r="E94" s="3">
        <v>135614667.81</v>
      </c>
      <c r="F94" s="2">
        <v>0.52013888888888882</v>
      </c>
    </row>
    <row r="95" spans="1:6" x14ac:dyDescent="0.25">
      <c r="A95" s="71" t="s">
        <v>823</v>
      </c>
      <c r="C95">
        <v>13.03</v>
      </c>
      <c r="D95">
        <v>9.9600000000000009</v>
      </c>
      <c r="E95" s="3">
        <v>1252026.6399999999</v>
      </c>
      <c r="F95" s="2">
        <v>0.52013888888888882</v>
      </c>
    </row>
    <row r="96" spans="1:6" x14ac:dyDescent="0.25">
      <c r="A96" s="71" t="s">
        <v>69</v>
      </c>
      <c r="C96">
        <v>2.9</v>
      </c>
      <c r="D96">
        <v>2.84</v>
      </c>
      <c r="E96" s="3">
        <v>35605809.950000003</v>
      </c>
      <c r="F96" s="2">
        <v>0.52013888888888882</v>
      </c>
    </row>
    <row r="97" spans="1:6" x14ac:dyDescent="0.25">
      <c r="A97" s="71" t="s">
        <v>70</v>
      </c>
      <c r="C97">
        <v>86.55</v>
      </c>
      <c r="D97">
        <v>0.7</v>
      </c>
      <c r="E97" s="3">
        <v>11451307.75</v>
      </c>
      <c r="F97" s="2">
        <v>0.51944444444444449</v>
      </c>
    </row>
    <row r="98" spans="1:6" x14ac:dyDescent="0.25">
      <c r="A98" s="71" t="s">
        <v>71</v>
      </c>
      <c r="C98">
        <v>83.5</v>
      </c>
      <c r="D98">
        <v>-2.34</v>
      </c>
      <c r="E98" s="3">
        <v>52180912.100000001</v>
      </c>
      <c r="F98" s="2">
        <v>0.52013888888888882</v>
      </c>
    </row>
    <row r="99" spans="1:6" x14ac:dyDescent="0.25">
      <c r="A99" s="71" t="s">
        <v>72</v>
      </c>
      <c r="C99">
        <v>31.78</v>
      </c>
      <c r="D99">
        <v>-0.19</v>
      </c>
      <c r="E99" s="3">
        <v>92706139.040000007</v>
      </c>
      <c r="F99" s="2">
        <v>0.52013888888888882</v>
      </c>
    </row>
    <row r="100" spans="1:6" x14ac:dyDescent="0.25">
      <c r="A100" s="71" t="s">
        <v>73</v>
      </c>
      <c r="C100">
        <v>5.87</v>
      </c>
      <c r="D100">
        <v>-2.17</v>
      </c>
      <c r="E100" s="3">
        <v>9468371.3599999994</v>
      </c>
      <c r="F100" s="2">
        <v>0.51944444444444449</v>
      </c>
    </row>
    <row r="101" spans="1:6" x14ac:dyDescent="0.25">
      <c r="A101" s="71" t="s">
        <v>74</v>
      </c>
      <c r="C101">
        <v>53.1</v>
      </c>
      <c r="D101">
        <v>-1.76</v>
      </c>
      <c r="E101" s="3">
        <v>4994543.5</v>
      </c>
      <c r="F101" s="2">
        <v>0.51250000000000007</v>
      </c>
    </row>
    <row r="102" spans="1:6" x14ac:dyDescent="0.25">
      <c r="A102" s="71" t="s">
        <v>75</v>
      </c>
      <c r="C102">
        <v>2.11</v>
      </c>
      <c r="D102">
        <v>-1.4</v>
      </c>
      <c r="E102" s="3">
        <v>8279234.9100000001</v>
      </c>
      <c r="F102" s="2">
        <v>0.52013888888888882</v>
      </c>
    </row>
    <row r="103" spans="1:6" x14ac:dyDescent="0.25">
      <c r="A103" s="71" t="s">
        <v>76</v>
      </c>
      <c r="C103">
        <v>71.8</v>
      </c>
      <c r="D103">
        <v>-1.64</v>
      </c>
      <c r="E103" s="3">
        <v>164937470</v>
      </c>
      <c r="F103" s="2">
        <v>0.52013888888888882</v>
      </c>
    </row>
    <row r="104" spans="1:6" x14ac:dyDescent="0.25">
      <c r="A104" s="71" t="s">
        <v>77</v>
      </c>
      <c r="C104">
        <v>2.68</v>
      </c>
      <c r="D104">
        <v>0</v>
      </c>
      <c r="E104" s="3">
        <v>35357856.82</v>
      </c>
      <c r="F104" s="2">
        <v>0.52013888888888882</v>
      </c>
    </row>
    <row r="105" spans="1:6" x14ac:dyDescent="0.25">
      <c r="A105" s="71" t="s">
        <v>78</v>
      </c>
      <c r="C105">
        <v>472.5</v>
      </c>
      <c r="D105">
        <v>-2.23</v>
      </c>
      <c r="E105" s="3">
        <v>7959707.7000000002</v>
      </c>
      <c r="F105" s="2">
        <v>0.51736111111111105</v>
      </c>
    </row>
    <row r="106" spans="1:6" x14ac:dyDescent="0.25">
      <c r="A106" s="71" t="s">
        <v>79</v>
      </c>
      <c r="C106">
        <v>68.650000000000006</v>
      </c>
      <c r="D106">
        <v>-3.31</v>
      </c>
      <c r="E106" s="3">
        <v>20021806.050000001</v>
      </c>
      <c r="F106" s="2">
        <v>0.52013888888888882</v>
      </c>
    </row>
    <row r="107" spans="1:6" x14ac:dyDescent="0.25">
      <c r="A107" s="71" t="s">
        <v>651</v>
      </c>
      <c r="C107">
        <v>336.8</v>
      </c>
      <c r="D107">
        <v>-8.0500000000000007</v>
      </c>
      <c r="E107" s="3">
        <v>791762955.29999995</v>
      </c>
      <c r="F107" s="2">
        <v>0.52013888888888882</v>
      </c>
    </row>
    <row r="108" spans="1:6" x14ac:dyDescent="0.25">
      <c r="A108" s="71" t="s">
        <v>80</v>
      </c>
      <c r="C108">
        <v>60.1</v>
      </c>
      <c r="D108">
        <v>-2.5099999999999998</v>
      </c>
      <c r="E108" s="3">
        <v>24146906</v>
      </c>
      <c r="F108" s="2">
        <v>0.52013888888888882</v>
      </c>
    </row>
    <row r="109" spans="1:6" x14ac:dyDescent="0.25">
      <c r="A109" s="71" t="s">
        <v>81</v>
      </c>
      <c r="C109">
        <v>24.42</v>
      </c>
      <c r="D109">
        <v>-1.45</v>
      </c>
      <c r="E109" s="3">
        <v>10328415.08</v>
      </c>
      <c r="F109" s="2">
        <v>0.52013888888888882</v>
      </c>
    </row>
    <row r="110" spans="1:6" x14ac:dyDescent="0.25">
      <c r="A110" s="71" t="s">
        <v>82</v>
      </c>
      <c r="C110">
        <v>30.52</v>
      </c>
      <c r="D110">
        <v>-1.74</v>
      </c>
      <c r="E110" s="3">
        <v>19011905.760000002</v>
      </c>
      <c r="F110" s="2">
        <v>0.52013888888888882</v>
      </c>
    </row>
    <row r="111" spans="1:6" x14ac:dyDescent="0.25">
      <c r="A111" s="71" t="s">
        <v>83</v>
      </c>
      <c r="C111">
        <v>4.17</v>
      </c>
      <c r="D111">
        <v>1.21</v>
      </c>
      <c r="E111" s="3">
        <v>13031471.220000001</v>
      </c>
      <c r="F111" s="2">
        <v>0.52013888888888882</v>
      </c>
    </row>
    <row r="112" spans="1:6" x14ac:dyDescent="0.25">
      <c r="A112" s="71" t="s">
        <v>652</v>
      </c>
      <c r="C112">
        <v>12.53</v>
      </c>
      <c r="D112">
        <v>1.87</v>
      </c>
      <c r="E112" s="3">
        <v>285454881.69999999</v>
      </c>
      <c r="F112" s="2">
        <v>0.52013888888888882</v>
      </c>
    </row>
    <row r="113" spans="1:6" x14ac:dyDescent="0.25">
      <c r="A113" s="71" t="s">
        <v>84</v>
      </c>
      <c r="C113">
        <v>5.34</v>
      </c>
      <c r="D113">
        <v>9.8800000000000008</v>
      </c>
      <c r="E113" s="3">
        <v>24153970.420000002</v>
      </c>
      <c r="F113" s="2">
        <v>0.51944444444444449</v>
      </c>
    </row>
    <row r="114" spans="1:6" x14ac:dyDescent="0.25">
      <c r="A114" s="71" t="s">
        <v>85</v>
      </c>
      <c r="C114">
        <v>28.14</v>
      </c>
      <c r="D114">
        <v>-1.33</v>
      </c>
      <c r="E114" s="3">
        <v>17385738.18</v>
      </c>
      <c r="F114" s="2">
        <v>0.52013888888888882</v>
      </c>
    </row>
    <row r="115" spans="1:6" x14ac:dyDescent="0.25">
      <c r="A115" s="71" t="s">
        <v>86</v>
      </c>
      <c r="C115">
        <v>18.29</v>
      </c>
      <c r="D115">
        <v>-0.05</v>
      </c>
      <c r="E115" s="3">
        <v>6924906.8200000003</v>
      </c>
      <c r="F115" s="2">
        <v>0.52013888888888882</v>
      </c>
    </row>
    <row r="116" spans="1:6" x14ac:dyDescent="0.25">
      <c r="A116" s="71" t="s">
        <v>87</v>
      </c>
      <c r="C116">
        <v>17.45</v>
      </c>
      <c r="D116">
        <v>-3.7</v>
      </c>
      <c r="E116" s="3">
        <v>3636291.4</v>
      </c>
      <c r="F116" s="2">
        <v>0.51944444444444449</v>
      </c>
    </row>
    <row r="117" spans="1:6" x14ac:dyDescent="0.25">
      <c r="A117" s="71" t="s">
        <v>88</v>
      </c>
      <c r="C117">
        <v>148.30000000000001</v>
      </c>
      <c r="D117">
        <v>-1.92</v>
      </c>
      <c r="E117" s="3">
        <v>7620272.2000000002</v>
      </c>
      <c r="F117" s="2">
        <v>0.51944444444444449</v>
      </c>
    </row>
    <row r="118" spans="1:6" x14ac:dyDescent="0.25">
      <c r="A118" s="71" t="s">
        <v>89</v>
      </c>
      <c r="C118">
        <v>124.8</v>
      </c>
      <c r="D118">
        <v>-1.89</v>
      </c>
      <c r="E118" s="3">
        <v>275672323</v>
      </c>
      <c r="F118" s="2">
        <v>0.52013888888888882</v>
      </c>
    </row>
    <row r="119" spans="1:6" x14ac:dyDescent="0.25">
      <c r="A119" s="71" t="s">
        <v>90</v>
      </c>
      <c r="C119">
        <v>8.64</v>
      </c>
      <c r="D119">
        <v>2.25</v>
      </c>
      <c r="E119" s="3">
        <v>22540551.399999999</v>
      </c>
      <c r="F119" s="2">
        <v>0.51944444444444449</v>
      </c>
    </row>
    <row r="120" spans="1:6" x14ac:dyDescent="0.25">
      <c r="A120" s="71" t="s">
        <v>91</v>
      </c>
      <c r="C120">
        <v>18.079999999999998</v>
      </c>
      <c r="D120">
        <v>0.06</v>
      </c>
      <c r="E120" s="3">
        <v>4208232.74</v>
      </c>
      <c r="F120" s="2">
        <v>0.52013888888888882</v>
      </c>
    </row>
    <row r="121" spans="1:6" x14ac:dyDescent="0.25">
      <c r="A121" s="71" t="s">
        <v>92</v>
      </c>
      <c r="C121">
        <v>366</v>
      </c>
      <c r="D121">
        <v>-3.68</v>
      </c>
      <c r="E121" s="3">
        <v>3957922.5</v>
      </c>
      <c r="F121" s="2">
        <v>0.51944444444444449</v>
      </c>
    </row>
    <row r="122" spans="1:6" x14ac:dyDescent="0.25">
      <c r="A122" s="71" t="s">
        <v>93</v>
      </c>
      <c r="C122">
        <v>0</v>
      </c>
      <c r="D122">
        <v>0</v>
      </c>
      <c r="E122" s="3">
        <v>0</v>
      </c>
      <c r="F122" s="2">
        <v>0.75694444444444453</v>
      </c>
    </row>
    <row r="123" spans="1:6" x14ac:dyDescent="0.25">
      <c r="A123" s="71" t="s">
        <v>94</v>
      </c>
      <c r="C123">
        <v>20.420000000000002</v>
      </c>
      <c r="D123">
        <v>-0.2</v>
      </c>
      <c r="E123" s="3">
        <v>4746159.66</v>
      </c>
      <c r="F123" s="2">
        <v>0.52013888888888882</v>
      </c>
    </row>
    <row r="124" spans="1:6" x14ac:dyDescent="0.25">
      <c r="A124" s="71" t="s">
        <v>95</v>
      </c>
      <c r="C124">
        <v>57.75</v>
      </c>
      <c r="D124">
        <v>0.7</v>
      </c>
      <c r="E124" s="3">
        <v>1548143189.1500001</v>
      </c>
      <c r="F124" s="2">
        <v>0.52013888888888882</v>
      </c>
    </row>
    <row r="125" spans="1:6" x14ac:dyDescent="0.25">
      <c r="A125" s="71" t="s">
        <v>671</v>
      </c>
      <c r="C125">
        <v>61.05</v>
      </c>
      <c r="D125">
        <v>-5.93</v>
      </c>
      <c r="E125" s="3">
        <v>4732960235.3999996</v>
      </c>
      <c r="F125" s="2">
        <v>0.52013888888888882</v>
      </c>
    </row>
    <row r="126" spans="1:6" x14ac:dyDescent="0.25">
      <c r="A126" s="71" t="s">
        <v>96</v>
      </c>
      <c r="C126">
        <v>153</v>
      </c>
      <c r="D126">
        <v>-1.61</v>
      </c>
      <c r="E126" s="3">
        <v>18697342.300000001</v>
      </c>
      <c r="F126" s="2">
        <v>0.52013888888888882</v>
      </c>
    </row>
    <row r="127" spans="1:6" x14ac:dyDescent="0.25">
      <c r="A127" s="71" t="s">
        <v>97</v>
      </c>
      <c r="C127">
        <v>4.79</v>
      </c>
      <c r="D127">
        <v>-2.44</v>
      </c>
      <c r="E127" s="3">
        <v>452412.08</v>
      </c>
      <c r="F127" s="2">
        <v>0.51041666666666663</v>
      </c>
    </row>
    <row r="128" spans="1:6" x14ac:dyDescent="0.25">
      <c r="A128" s="71" t="s">
        <v>98</v>
      </c>
      <c r="C128">
        <v>18.899999999999999</v>
      </c>
      <c r="D128">
        <v>-2.2200000000000002</v>
      </c>
      <c r="E128" s="3">
        <v>2646142.58</v>
      </c>
      <c r="F128" s="2">
        <v>0.51944444444444449</v>
      </c>
    </row>
    <row r="129" spans="1:6" x14ac:dyDescent="0.25">
      <c r="A129" s="71" t="s">
        <v>99</v>
      </c>
      <c r="C129">
        <v>76.349999999999994</v>
      </c>
      <c r="D129">
        <v>-0.2</v>
      </c>
      <c r="E129" s="3">
        <v>2178826.4500000002</v>
      </c>
      <c r="F129" s="2">
        <v>0.51944444444444449</v>
      </c>
    </row>
    <row r="130" spans="1:6" x14ac:dyDescent="0.25">
      <c r="A130" s="71" t="s">
        <v>100</v>
      </c>
      <c r="C130">
        <v>3.5</v>
      </c>
      <c r="D130">
        <v>-4.37</v>
      </c>
      <c r="E130" s="3">
        <v>3224840.68</v>
      </c>
      <c r="F130" s="2">
        <v>0.51944444444444449</v>
      </c>
    </row>
    <row r="131" spans="1:6" x14ac:dyDescent="0.25">
      <c r="A131" s="71" t="s">
        <v>101</v>
      </c>
      <c r="C131">
        <v>95.5</v>
      </c>
      <c r="D131">
        <v>2.69</v>
      </c>
      <c r="E131" s="3">
        <v>501088.5</v>
      </c>
      <c r="F131" s="2">
        <v>0.41319444444444442</v>
      </c>
    </row>
    <row r="132" spans="1:6" x14ac:dyDescent="0.25">
      <c r="A132" s="71" t="s">
        <v>102</v>
      </c>
      <c r="C132">
        <v>3.32</v>
      </c>
      <c r="D132">
        <v>3.11</v>
      </c>
      <c r="E132" s="3">
        <v>2986139.64</v>
      </c>
      <c r="F132" s="2">
        <v>0.51944444444444449</v>
      </c>
    </row>
    <row r="133" spans="1:6" x14ac:dyDescent="0.25">
      <c r="A133" s="71" t="s">
        <v>103</v>
      </c>
      <c r="C133">
        <v>17.73</v>
      </c>
      <c r="D133">
        <v>-2.2599999999999998</v>
      </c>
      <c r="E133" s="3">
        <v>15206914.609999999</v>
      </c>
      <c r="F133" s="2">
        <v>0.51944444444444449</v>
      </c>
    </row>
    <row r="134" spans="1:6" x14ac:dyDescent="0.25">
      <c r="A134" s="71" t="s">
        <v>104</v>
      </c>
      <c r="C134">
        <v>3.17</v>
      </c>
      <c r="D134">
        <v>7.46</v>
      </c>
      <c r="E134" s="3">
        <v>109803203.95</v>
      </c>
      <c r="F134" s="2">
        <v>0.52013888888888882</v>
      </c>
    </row>
    <row r="135" spans="1:6" x14ac:dyDescent="0.25">
      <c r="A135" s="71" t="s">
        <v>105</v>
      </c>
      <c r="C135">
        <v>3.25</v>
      </c>
      <c r="D135">
        <v>0.62</v>
      </c>
      <c r="E135" s="3">
        <v>797342.74</v>
      </c>
      <c r="F135" s="2">
        <v>0.51736111111111105</v>
      </c>
    </row>
    <row r="136" spans="1:6" x14ac:dyDescent="0.25">
      <c r="A136" s="71" t="s">
        <v>106</v>
      </c>
      <c r="C136">
        <v>76.5</v>
      </c>
      <c r="D136">
        <v>-1.61</v>
      </c>
      <c r="E136" s="3">
        <v>2300290.0499999998</v>
      </c>
      <c r="F136" s="2">
        <v>0.5180555555555556</v>
      </c>
    </row>
    <row r="137" spans="1:6" x14ac:dyDescent="0.25">
      <c r="A137" s="71" t="s">
        <v>107</v>
      </c>
      <c r="C137">
        <v>15.49</v>
      </c>
      <c r="D137">
        <v>-2.64</v>
      </c>
      <c r="E137" s="3">
        <v>26670472.260000002</v>
      </c>
      <c r="F137" s="2">
        <v>0.52013888888888882</v>
      </c>
    </row>
    <row r="138" spans="1:6" x14ac:dyDescent="0.25">
      <c r="A138" s="71" t="s">
        <v>108</v>
      </c>
      <c r="C138">
        <v>29.58</v>
      </c>
      <c r="D138">
        <v>-2.0499999999999998</v>
      </c>
      <c r="E138" s="3">
        <v>26687972.379999999</v>
      </c>
      <c r="F138" s="2">
        <v>0.52013888888888882</v>
      </c>
    </row>
    <row r="139" spans="1:6" x14ac:dyDescent="0.25">
      <c r="A139" s="71" t="s">
        <v>109</v>
      </c>
      <c r="C139">
        <v>20.2</v>
      </c>
      <c r="D139">
        <v>-0.98</v>
      </c>
      <c r="E139" s="3">
        <v>110090</v>
      </c>
      <c r="F139" s="2">
        <v>0.41319444444444442</v>
      </c>
    </row>
    <row r="140" spans="1:6" x14ac:dyDescent="0.25">
      <c r="A140" s="71" t="s">
        <v>110</v>
      </c>
      <c r="C140" s="3">
        <v>72.5</v>
      </c>
      <c r="D140">
        <v>-2.42</v>
      </c>
      <c r="E140" s="3">
        <v>18719549.199999999</v>
      </c>
      <c r="F140" s="2">
        <v>0.51944444444444449</v>
      </c>
    </row>
    <row r="141" spans="1:6" x14ac:dyDescent="0.25">
      <c r="A141" s="71" t="s">
        <v>643</v>
      </c>
      <c r="C141" s="3">
        <v>28.58</v>
      </c>
      <c r="D141">
        <v>4.54</v>
      </c>
      <c r="E141" s="3">
        <v>133924230.73999999</v>
      </c>
      <c r="F141" s="2">
        <v>0.52013888888888882</v>
      </c>
    </row>
    <row r="142" spans="1:6" x14ac:dyDescent="0.25">
      <c r="A142" s="71" t="s">
        <v>111</v>
      </c>
      <c r="C142" s="3">
        <v>28.44</v>
      </c>
      <c r="D142">
        <v>-1.8</v>
      </c>
      <c r="E142" s="3">
        <v>24894007.940000001</v>
      </c>
      <c r="F142" s="2">
        <v>0.52013888888888882</v>
      </c>
    </row>
    <row r="143" spans="1:6" x14ac:dyDescent="0.25">
      <c r="A143" s="71" t="s">
        <v>112</v>
      </c>
      <c r="C143" s="3">
        <v>42.92</v>
      </c>
      <c r="D143">
        <v>-1.56</v>
      </c>
      <c r="E143" s="3">
        <v>1686574.04</v>
      </c>
      <c r="F143" s="2">
        <v>0.51944444444444449</v>
      </c>
    </row>
    <row r="144" spans="1:6" x14ac:dyDescent="0.25">
      <c r="A144" s="71" t="s">
        <v>113</v>
      </c>
      <c r="C144">
        <v>17.39</v>
      </c>
      <c r="D144">
        <v>-0.06</v>
      </c>
      <c r="E144" s="3">
        <v>25389.4</v>
      </c>
      <c r="F144" s="2">
        <v>0.41319444444444442</v>
      </c>
    </row>
    <row r="145" spans="1:6" x14ac:dyDescent="0.25">
      <c r="A145" s="71" t="s">
        <v>114</v>
      </c>
      <c r="C145" s="3">
        <v>79.55</v>
      </c>
      <c r="D145">
        <v>1.34</v>
      </c>
      <c r="E145" s="3">
        <v>3037558.75</v>
      </c>
      <c r="F145" s="2">
        <v>0.52013888888888882</v>
      </c>
    </row>
    <row r="146" spans="1:6" x14ac:dyDescent="0.25">
      <c r="A146" s="71" t="s">
        <v>642</v>
      </c>
      <c r="C146" s="3">
        <v>16.03</v>
      </c>
      <c r="D146">
        <v>-1.17</v>
      </c>
      <c r="E146" s="3">
        <v>16159154.07</v>
      </c>
      <c r="F146" s="2">
        <v>0.52013888888888882</v>
      </c>
    </row>
    <row r="147" spans="1:6" x14ac:dyDescent="0.25">
      <c r="A147" s="71" t="s">
        <v>115</v>
      </c>
      <c r="C147">
        <v>5.55</v>
      </c>
      <c r="D147">
        <v>4.72</v>
      </c>
      <c r="E147" s="3">
        <v>46481.25</v>
      </c>
      <c r="F147" s="2">
        <v>0.41319444444444442</v>
      </c>
    </row>
    <row r="148" spans="1:6" x14ac:dyDescent="0.25">
      <c r="A148" s="71" t="s">
        <v>116</v>
      </c>
      <c r="C148" s="3">
        <v>14.5</v>
      </c>
      <c r="D148">
        <v>-1.29</v>
      </c>
      <c r="E148" s="3">
        <v>18621286.52</v>
      </c>
      <c r="F148" s="2">
        <v>0.52013888888888882</v>
      </c>
    </row>
    <row r="149" spans="1:6" x14ac:dyDescent="0.25">
      <c r="A149" s="71" t="s">
        <v>117</v>
      </c>
      <c r="C149" s="3">
        <v>4.26</v>
      </c>
      <c r="D149">
        <v>-0.7</v>
      </c>
      <c r="E149" s="3">
        <v>2002829.18</v>
      </c>
      <c r="F149" s="2">
        <v>0.52013888888888882</v>
      </c>
    </row>
    <row r="150" spans="1:6" x14ac:dyDescent="0.25">
      <c r="A150" s="71" t="s">
        <v>118</v>
      </c>
      <c r="C150" s="3">
        <v>12.02</v>
      </c>
      <c r="D150">
        <v>-1.96</v>
      </c>
      <c r="E150" s="3">
        <v>58827369.310000002</v>
      </c>
      <c r="F150" s="2">
        <v>0.52013888888888882</v>
      </c>
    </row>
    <row r="151" spans="1:6" x14ac:dyDescent="0.25">
      <c r="A151" s="71" t="s">
        <v>119</v>
      </c>
      <c r="C151" s="3">
        <v>18.46</v>
      </c>
      <c r="D151">
        <v>-3.4</v>
      </c>
      <c r="E151" s="3">
        <v>26665457.899999999</v>
      </c>
      <c r="F151" s="2">
        <v>0.52013888888888882</v>
      </c>
    </row>
    <row r="152" spans="1:6" x14ac:dyDescent="0.25">
      <c r="A152" s="71" t="s">
        <v>120</v>
      </c>
      <c r="C152" s="3">
        <v>4954.5</v>
      </c>
      <c r="D152">
        <v>-1.7</v>
      </c>
      <c r="E152" s="3">
        <v>18881385.800000001</v>
      </c>
      <c r="F152" s="2">
        <v>0.51944444444444449</v>
      </c>
    </row>
    <row r="153" spans="1:6" x14ac:dyDescent="0.25">
      <c r="A153" s="71" t="s">
        <v>121</v>
      </c>
      <c r="C153" s="3">
        <v>146</v>
      </c>
      <c r="D153">
        <v>0.48</v>
      </c>
      <c r="E153" s="3">
        <v>603913350.89999998</v>
      </c>
      <c r="F153" s="2">
        <v>0.52013888888888882</v>
      </c>
    </row>
    <row r="154" spans="1:6" x14ac:dyDescent="0.25">
      <c r="A154" s="71" t="s">
        <v>122</v>
      </c>
      <c r="C154" s="3">
        <v>18.47</v>
      </c>
      <c r="D154">
        <v>-3.55</v>
      </c>
      <c r="E154" s="3">
        <v>43060123.880000003</v>
      </c>
      <c r="F154" s="2">
        <v>0.52013888888888882</v>
      </c>
    </row>
    <row r="155" spans="1:6" x14ac:dyDescent="0.25">
      <c r="A155" s="71" t="s">
        <v>123</v>
      </c>
      <c r="C155" s="3">
        <v>30.36</v>
      </c>
      <c r="D155">
        <v>1.34</v>
      </c>
      <c r="E155" s="3">
        <v>31909338.48</v>
      </c>
      <c r="F155" s="2">
        <v>0.52013888888888882</v>
      </c>
    </row>
    <row r="156" spans="1:6" x14ac:dyDescent="0.25">
      <c r="A156" s="71" t="s">
        <v>124</v>
      </c>
      <c r="C156" s="3">
        <v>8.69</v>
      </c>
      <c r="D156">
        <v>2.48</v>
      </c>
      <c r="E156" s="3">
        <v>50756338.229999997</v>
      </c>
      <c r="F156" s="2">
        <v>0.52013888888888882</v>
      </c>
    </row>
    <row r="157" spans="1:6" x14ac:dyDescent="0.25">
      <c r="A157" s="71" t="s">
        <v>125</v>
      </c>
      <c r="C157" s="3">
        <v>12.72</v>
      </c>
      <c r="D157">
        <v>-1.4</v>
      </c>
      <c r="E157" s="3">
        <v>5322747.26</v>
      </c>
      <c r="F157" s="2">
        <v>0.5180555555555556</v>
      </c>
    </row>
    <row r="158" spans="1:6" x14ac:dyDescent="0.25">
      <c r="A158" s="71" t="s">
        <v>126</v>
      </c>
      <c r="C158">
        <v>15.07</v>
      </c>
      <c r="D158">
        <v>-1.82</v>
      </c>
      <c r="E158" s="3">
        <v>4223166.74</v>
      </c>
      <c r="F158" s="2">
        <v>0.5180555555555556</v>
      </c>
    </row>
    <row r="159" spans="1:6" x14ac:dyDescent="0.25">
      <c r="A159" s="71" t="s">
        <v>559</v>
      </c>
      <c r="C159">
        <v>37.78</v>
      </c>
      <c r="D159">
        <v>-1.51</v>
      </c>
      <c r="E159" s="3">
        <v>6757252.1200000001</v>
      </c>
      <c r="F159" s="2">
        <v>0.52013888888888882</v>
      </c>
    </row>
    <row r="160" spans="1:6" x14ac:dyDescent="0.25">
      <c r="A160" s="71" t="s">
        <v>127</v>
      </c>
      <c r="C160">
        <v>6.49</v>
      </c>
      <c r="D160">
        <v>-3.13</v>
      </c>
      <c r="E160" s="3">
        <v>18602104.32</v>
      </c>
      <c r="F160" s="2">
        <v>0.52013888888888882</v>
      </c>
    </row>
    <row r="161" spans="1:6" x14ac:dyDescent="0.25">
      <c r="A161" s="71" t="s">
        <v>128</v>
      </c>
      <c r="C161">
        <v>19.329999999999998</v>
      </c>
      <c r="D161">
        <v>-0.67</v>
      </c>
      <c r="E161" s="3">
        <v>60244147.899999999</v>
      </c>
      <c r="F161" s="2">
        <v>0.52013888888888882</v>
      </c>
    </row>
    <row r="162" spans="1:6" x14ac:dyDescent="0.25">
      <c r="A162" s="71" t="s">
        <v>129</v>
      </c>
      <c r="C162">
        <v>13.35</v>
      </c>
      <c r="D162">
        <v>5.37</v>
      </c>
      <c r="E162" s="3">
        <v>10798245.75</v>
      </c>
      <c r="F162" s="2">
        <v>0.52013888888888882</v>
      </c>
    </row>
    <row r="163" spans="1:6" x14ac:dyDescent="0.25">
      <c r="A163" s="71" t="s">
        <v>130</v>
      </c>
      <c r="C163">
        <v>52.85</v>
      </c>
      <c r="D163">
        <v>-3.03</v>
      </c>
      <c r="E163" s="3">
        <v>10713697.300000001</v>
      </c>
      <c r="F163" s="2">
        <v>0.52013888888888882</v>
      </c>
    </row>
    <row r="164" spans="1:6" x14ac:dyDescent="0.25">
      <c r="A164" s="71" t="s">
        <v>131</v>
      </c>
      <c r="C164">
        <v>5</v>
      </c>
      <c r="D164">
        <v>2.04</v>
      </c>
      <c r="E164" s="3">
        <v>406560</v>
      </c>
      <c r="F164" s="2">
        <v>0.41319444444444442</v>
      </c>
    </row>
    <row r="165" spans="1:6" x14ac:dyDescent="0.25">
      <c r="A165" s="71" t="s">
        <v>132</v>
      </c>
      <c r="C165">
        <v>9.64</v>
      </c>
      <c r="D165">
        <v>-4.37</v>
      </c>
      <c r="E165" s="3">
        <v>6671894.6399999997</v>
      </c>
      <c r="F165" s="2">
        <v>0.52013888888888882</v>
      </c>
    </row>
    <row r="166" spans="1:6" x14ac:dyDescent="0.25">
      <c r="A166" s="71" t="s">
        <v>659</v>
      </c>
      <c r="C166">
        <v>28.3</v>
      </c>
      <c r="D166">
        <v>0.64</v>
      </c>
      <c r="E166" s="3">
        <v>34781735.079999998</v>
      </c>
      <c r="F166" s="2">
        <v>0.52013888888888882</v>
      </c>
    </row>
    <row r="167" spans="1:6" x14ac:dyDescent="0.25">
      <c r="A167" s="71" t="s">
        <v>133</v>
      </c>
      <c r="C167" s="3">
        <v>8.77</v>
      </c>
      <c r="D167">
        <v>-2.56</v>
      </c>
      <c r="E167" s="3">
        <v>23376396.239999998</v>
      </c>
      <c r="F167" s="2">
        <v>0.52013888888888882</v>
      </c>
    </row>
    <row r="168" spans="1:6" x14ac:dyDescent="0.25">
      <c r="A168" s="71" t="s">
        <v>134</v>
      </c>
      <c r="C168" s="3">
        <v>1.9</v>
      </c>
      <c r="D168">
        <v>0.53</v>
      </c>
      <c r="E168" s="3">
        <v>43783.6</v>
      </c>
      <c r="F168" s="2">
        <v>0.41319444444444442</v>
      </c>
    </row>
    <row r="169" spans="1:6" x14ac:dyDescent="0.25">
      <c r="A169" s="71" t="s">
        <v>135</v>
      </c>
      <c r="C169" s="3">
        <v>92</v>
      </c>
      <c r="D169">
        <v>-4.71</v>
      </c>
      <c r="E169" s="3">
        <v>45950278.350000001</v>
      </c>
      <c r="F169" s="2">
        <v>0.52013888888888882</v>
      </c>
    </row>
    <row r="170" spans="1:6" x14ac:dyDescent="0.25">
      <c r="A170" s="71" t="s">
        <v>136</v>
      </c>
      <c r="C170" s="3">
        <v>780.3</v>
      </c>
      <c r="D170">
        <v>-3.44</v>
      </c>
      <c r="E170" s="3">
        <v>41754666.600000001</v>
      </c>
      <c r="F170" s="2">
        <v>0.52013888888888882</v>
      </c>
    </row>
    <row r="171" spans="1:6" x14ac:dyDescent="0.25">
      <c r="A171" s="71" t="s">
        <v>137</v>
      </c>
      <c r="C171" s="3">
        <v>4.38</v>
      </c>
      <c r="D171">
        <v>-2.4500000000000002</v>
      </c>
      <c r="E171" s="3">
        <v>6305830.25</v>
      </c>
      <c r="F171" s="2">
        <v>0.52013888888888882</v>
      </c>
    </row>
    <row r="172" spans="1:6" x14ac:dyDescent="0.25">
      <c r="A172" s="71" t="s">
        <v>138</v>
      </c>
      <c r="C172">
        <v>36.68</v>
      </c>
      <c r="D172">
        <v>-7.37</v>
      </c>
      <c r="E172" s="3">
        <v>36548455.299999997</v>
      </c>
      <c r="F172" s="2">
        <v>0.51180555555555551</v>
      </c>
    </row>
    <row r="173" spans="1:6" x14ac:dyDescent="0.25">
      <c r="A173" s="71" t="s">
        <v>139</v>
      </c>
      <c r="C173">
        <v>6.71</v>
      </c>
      <c r="D173">
        <v>-2.19</v>
      </c>
      <c r="E173" s="3">
        <v>57258051.979999997</v>
      </c>
      <c r="F173" s="2">
        <v>0.52013888888888882</v>
      </c>
    </row>
    <row r="174" spans="1:6" x14ac:dyDescent="0.25">
      <c r="A174" s="71" t="s">
        <v>140</v>
      </c>
      <c r="C174">
        <v>51.8</v>
      </c>
      <c r="D174">
        <v>2.37</v>
      </c>
      <c r="E174" s="3">
        <v>8354989.6500000004</v>
      </c>
      <c r="F174" s="2">
        <v>0.52013888888888882</v>
      </c>
    </row>
    <row r="175" spans="1:6" x14ac:dyDescent="0.25">
      <c r="A175" s="71" t="s">
        <v>141</v>
      </c>
      <c r="C175" s="3">
        <v>31.04</v>
      </c>
      <c r="D175">
        <v>1.37</v>
      </c>
      <c r="E175" s="3">
        <v>1542771.64</v>
      </c>
      <c r="F175" s="2">
        <v>0.51944444444444449</v>
      </c>
    </row>
    <row r="176" spans="1:6" x14ac:dyDescent="0.25">
      <c r="A176" s="71" t="s">
        <v>810</v>
      </c>
      <c r="C176">
        <v>61.8</v>
      </c>
      <c r="D176">
        <v>-3.66</v>
      </c>
      <c r="E176" s="3">
        <v>129455640.65000001</v>
      </c>
      <c r="F176" s="2">
        <v>0.52013888888888882</v>
      </c>
    </row>
    <row r="177" spans="1:6" x14ac:dyDescent="0.25">
      <c r="A177" s="71" t="s">
        <v>142</v>
      </c>
      <c r="C177">
        <v>61</v>
      </c>
      <c r="D177">
        <v>0.99</v>
      </c>
      <c r="E177" s="3">
        <v>172224043.30000001</v>
      </c>
      <c r="F177" s="2">
        <v>0.52013888888888882</v>
      </c>
    </row>
    <row r="178" spans="1:6" x14ac:dyDescent="0.25">
      <c r="A178" s="71" t="s">
        <v>143</v>
      </c>
      <c r="C178">
        <v>158.4</v>
      </c>
      <c r="D178">
        <v>1.02</v>
      </c>
      <c r="E178" s="3">
        <v>108820.8</v>
      </c>
      <c r="F178" s="2">
        <v>0.41319444444444442</v>
      </c>
    </row>
    <row r="179" spans="1:6" x14ac:dyDescent="0.25">
      <c r="A179" s="71" t="s">
        <v>144</v>
      </c>
      <c r="C179">
        <v>207</v>
      </c>
      <c r="D179">
        <v>-1.33</v>
      </c>
      <c r="E179" s="3">
        <v>33750142</v>
      </c>
      <c r="F179" s="2">
        <v>0.52013888888888882</v>
      </c>
    </row>
    <row r="180" spans="1:6" x14ac:dyDescent="0.25">
      <c r="A180" s="71" t="s">
        <v>145</v>
      </c>
      <c r="C180">
        <v>28.18</v>
      </c>
      <c r="D180">
        <v>-2.42</v>
      </c>
      <c r="E180" s="3">
        <v>1383594.4</v>
      </c>
      <c r="F180" s="2">
        <v>0.51874999999999993</v>
      </c>
    </row>
    <row r="181" spans="1:6" x14ac:dyDescent="0.25">
      <c r="A181" s="71" t="s">
        <v>146</v>
      </c>
      <c r="C181">
        <v>1.86</v>
      </c>
      <c r="D181">
        <v>-1.06</v>
      </c>
      <c r="E181" s="3">
        <v>53998252.68</v>
      </c>
      <c r="F181" s="2">
        <v>0.52013888888888882</v>
      </c>
    </row>
    <row r="182" spans="1:6" x14ac:dyDescent="0.25">
      <c r="A182" s="71" t="s">
        <v>147</v>
      </c>
      <c r="C182">
        <v>47.82</v>
      </c>
      <c r="D182">
        <v>-2.41</v>
      </c>
      <c r="E182" s="3">
        <v>41944629.399999999</v>
      </c>
      <c r="F182" s="2">
        <v>0.51944444444444449</v>
      </c>
    </row>
    <row r="183" spans="1:6" x14ac:dyDescent="0.25">
      <c r="A183" s="71" t="s">
        <v>148</v>
      </c>
      <c r="C183">
        <v>17.29</v>
      </c>
      <c r="D183">
        <v>-1.71</v>
      </c>
      <c r="E183" s="3">
        <v>23889938.5</v>
      </c>
      <c r="F183" s="2">
        <v>0.52013888888888882</v>
      </c>
    </row>
    <row r="184" spans="1:6" x14ac:dyDescent="0.25">
      <c r="A184" s="71" t="s">
        <v>149</v>
      </c>
      <c r="C184">
        <v>110.4</v>
      </c>
      <c r="D184">
        <v>-3.07</v>
      </c>
      <c r="E184" s="3">
        <v>180072032.19999999</v>
      </c>
      <c r="F184" s="2">
        <v>0.52013888888888882</v>
      </c>
    </row>
    <row r="185" spans="1:6" x14ac:dyDescent="0.25">
      <c r="A185" s="71" t="s">
        <v>150</v>
      </c>
      <c r="C185">
        <v>545.70000000000005</v>
      </c>
      <c r="D185">
        <v>10</v>
      </c>
      <c r="E185" s="3">
        <v>49960205.5</v>
      </c>
      <c r="F185" s="2">
        <v>0.51944444444444449</v>
      </c>
    </row>
    <row r="186" spans="1:6" x14ac:dyDescent="0.25">
      <c r="A186" s="71" t="s">
        <v>151</v>
      </c>
      <c r="C186">
        <v>536.79999999999995</v>
      </c>
      <c r="D186">
        <v>-1.1399999999999999</v>
      </c>
      <c r="E186" s="3">
        <v>9323872.3000000007</v>
      </c>
      <c r="F186" s="2">
        <v>0.52013888888888882</v>
      </c>
    </row>
    <row r="187" spans="1:6" x14ac:dyDescent="0.25">
      <c r="A187" s="71" t="s">
        <v>152</v>
      </c>
      <c r="C187">
        <v>61.45</v>
      </c>
      <c r="D187">
        <v>1.07</v>
      </c>
      <c r="E187" s="3">
        <v>12781.6</v>
      </c>
      <c r="F187" s="2">
        <v>0.41319444444444442</v>
      </c>
    </row>
    <row r="188" spans="1:6" x14ac:dyDescent="0.25">
      <c r="A188" s="71" t="s">
        <v>557</v>
      </c>
      <c r="C188">
        <v>7.05</v>
      </c>
      <c r="D188">
        <v>1.1499999999999999</v>
      </c>
      <c r="E188" s="3">
        <v>41273524.039999999</v>
      </c>
      <c r="F188" s="2">
        <v>0.52013888888888882</v>
      </c>
    </row>
    <row r="189" spans="1:6" x14ac:dyDescent="0.25">
      <c r="A189" s="71" t="s">
        <v>153</v>
      </c>
      <c r="C189">
        <v>87.15</v>
      </c>
      <c r="D189">
        <v>-0.17</v>
      </c>
      <c r="E189" s="3">
        <v>100396.8</v>
      </c>
      <c r="F189" s="2">
        <v>0.41319444444444442</v>
      </c>
    </row>
    <row r="190" spans="1:6" x14ac:dyDescent="0.25">
      <c r="A190" s="71" t="s">
        <v>154</v>
      </c>
      <c r="C190">
        <v>4.33</v>
      </c>
      <c r="D190">
        <v>7.71</v>
      </c>
      <c r="E190" s="3">
        <v>30019046.579999998</v>
      </c>
      <c r="F190" s="2">
        <v>0.52013888888888882</v>
      </c>
    </row>
    <row r="191" spans="1:6" x14ac:dyDescent="0.25">
      <c r="A191" s="71" t="s">
        <v>155</v>
      </c>
      <c r="C191">
        <v>55.6</v>
      </c>
      <c r="D191">
        <v>-3.39</v>
      </c>
      <c r="E191" s="3">
        <v>86066254.099999994</v>
      </c>
      <c r="F191" s="2">
        <v>0.52013888888888882</v>
      </c>
    </row>
    <row r="192" spans="1:6" x14ac:dyDescent="0.25">
      <c r="A192" s="71" t="s">
        <v>156</v>
      </c>
      <c r="C192">
        <v>22.24</v>
      </c>
      <c r="D192">
        <v>-4.88</v>
      </c>
      <c r="E192" s="3">
        <v>20669578.84</v>
      </c>
      <c r="F192" s="2">
        <v>0.51944444444444449</v>
      </c>
    </row>
    <row r="193" spans="1:6" x14ac:dyDescent="0.25">
      <c r="A193" s="71" t="s">
        <v>157</v>
      </c>
      <c r="C193">
        <v>11.7</v>
      </c>
      <c r="D193">
        <v>-2.5</v>
      </c>
      <c r="E193" s="3">
        <v>4069050.56</v>
      </c>
      <c r="F193" s="2">
        <v>0.52013888888888882</v>
      </c>
    </row>
    <row r="194" spans="1:6" x14ac:dyDescent="0.25">
      <c r="A194" s="71" t="s">
        <v>158</v>
      </c>
      <c r="C194">
        <v>7.35</v>
      </c>
      <c r="D194">
        <v>3.52</v>
      </c>
      <c r="E194" s="3">
        <v>12042496.119999999</v>
      </c>
      <c r="F194" s="2">
        <v>0.52013888888888882</v>
      </c>
    </row>
    <row r="195" spans="1:6" x14ac:dyDescent="0.25">
      <c r="A195" s="71" t="s">
        <v>159</v>
      </c>
      <c r="C195">
        <v>51</v>
      </c>
      <c r="D195">
        <v>4.29</v>
      </c>
      <c r="E195" s="3">
        <v>20838037.690000001</v>
      </c>
      <c r="F195" s="2">
        <v>0.52013888888888882</v>
      </c>
    </row>
    <row r="196" spans="1:6" x14ac:dyDescent="0.25">
      <c r="A196" s="71" t="s">
        <v>160</v>
      </c>
      <c r="C196">
        <v>4.6900000000000004</v>
      </c>
      <c r="D196">
        <v>2.85</v>
      </c>
      <c r="E196" s="3">
        <v>82129930.400000006</v>
      </c>
      <c r="F196" s="2">
        <v>0.52013888888888882</v>
      </c>
    </row>
    <row r="197" spans="1:6" x14ac:dyDescent="0.25">
      <c r="A197" s="71" t="s">
        <v>161</v>
      </c>
      <c r="C197" s="3">
        <v>2.08</v>
      </c>
      <c r="D197">
        <v>-1.42</v>
      </c>
      <c r="E197" s="3">
        <v>5342058.9400000004</v>
      </c>
      <c r="F197" s="2">
        <v>0.52013888888888882</v>
      </c>
    </row>
    <row r="198" spans="1:6" x14ac:dyDescent="0.25">
      <c r="A198" s="71" t="s">
        <v>162</v>
      </c>
      <c r="C198" s="3">
        <v>5.46</v>
      </c>
      <c r="D198">
        <v>-2.85</v>
      </c>
      <c r="E198" s="3">
        <v>6861235.0899999999</v>
      </c>
      <c r="F198" s="2">
        <v>0.51944444444444449</v>
      </c>
    </row>
    <row r="199" spans="1:6" x14ac:dyDescent="0.25">
      <c r="A199" s="71" t="s">
        <v>163</v>
      </c>
      <c r="C199" s="3">
        <v>8.35</v>
      </c>
      <c r="D199">
        <v>-2.11</v>
      </c>
      <c r="E199" s="3">
        <v>3147281.05</v>
      </c>
      <c r="F199" s="2">
        <v>0.52013888888888882</v>
      </c>
    </row>
    <row r="200" spans="1:6" x14ac:dyDescent="0.25">
      <c r="A200" s="71" t="s">
        <v>164</v>
      </c>
      <c r="C200" s="3">
        <v>51.7</v>
      </c>
      <c r="D200">
        <v>-0.48</v>
      </c>
      <c r="E200" s="3">
        <v>1412472.55</v>
      </c>
      <c r="F200" s="2">
        <v>0.51944444444444449</v>
      </c>
    </row>
    <row r="201" spans="1:6" x14ac:dyDescent="0.25">
      <c r="A201" s="71" t="s">
        <v>165</v>
      </c>
      <c r="C201" s="3">
        <v>15.85</v>
      </c>
      <c r="D201">
        <v>0.76</v>
      </c>
      <c r="E201" s="3">
        <v>6161132.4299999997</v>
      </c>
      <c r="F201" s="2">
        <v>0.52013888888888882</v>
      </c>
    </row>
    <row r="202" spans="1:6" x14ac:dyDescent="0.25">
      <c r="A202" s="71" t="s">
        <v>166</v>
      </c>
      <c r="C202">
        <v>41.66</v>
      </c>
      <c r="D202">
        <v>-4.01</v>
      </c>
      <c r="E202" s="3">
        <v>21928133.18</v>
      </c>
      <c r="F202" s="2">
        <v>0.52013888888888882</v>
      </c>
    </row>
    <row r="203" spans="1:6" x14ac:dyDescent="0.25">
      <c r="A203" s="71" t="s">
        <v>167</v>
      </c>
      <c r="C203" s="3">
        <v>14.65</v>
      </c>
      <c r="D203">
        <v>0.9</v>
      </c>
      <c r="E203" s="3">
        <v>2068177.03</v>
      </c>
      <c r="F203" s="2">
        <v>0.5180555555555556</v>
      </c>
    </row>
    <row r="204" spans="1:6" x14ac:dyDescent="0.25">
      <c r="A204" s="71" t="s">
        <v>168</v>
      </c>
      <c r="C204" s="3">
        <v>33.14</v>
      </c>
      <c r="D204">
        <v>4.0199999999999996</v>
      </c>
      <c r="E204" s="3">
        <v>42493454.880000003</v>
      </c>
      <c r="F204" s="2">
        <v>0.52013888888888882</v>
      </c>
    </row>
    <row r="205" spans="1:6" x14ac:dyDescent="0.25">
      <c r="A205" s="71" t="s">
        <v>169</v>
      </c>
      <c r="C205">
        <v>7.95</v>
      </c>
      <c r="D205">
        <v>0.51</v>
      </c>
      <c r="E205" s="3">
        <v>19016454.530000001</v>
      </c>
      <c r="F205" s="2">
        <v>0.52013888888888882</v>
      </c>
    </row>
    <row r="206" spans="1:6" x14ac:dyDescent="0.25">
      <c r="A206" s="71" t="s">
        <v>170</v>
      </c>
      <c r="C206" s="3">
        <v>5.3</v>
      </c>
      <c r="D206">
        <v>1.92</v>
      </c>
      <c r="E206" s="3">
        <v>99549.9</v>
      </c>
      <c r="F206" s="2">
        <v>0.41319444444444442</v>
      </c>
    </row>
    <row r="207" spans="1:6" x14ac:dyDescent="0.25">
      <c r="A207" s="71" t="s">
        <v>171</v>
      </c>
      <c r="C207" s="3">
        <v>26.78</v>
      </c>
      <c r="D207">
        <v>-2.12</v>
      </c>
      <c r="E207" s="3">
        <v>1518440.2</v>
      </c>
      <c r="F207" s="2">
        <v>0.52013888888888882</v>
      </c>
    </row>
    <row r="208" spans="1:6" x14ac:dyDescent="0.25">
      <c r="A208" s="71" t="s">
        <v>172</v>
      </c>
      <c r="C208" s="3">
        <v>7.32</v>
      </c>
      <c r="D208">
        <v>0</v>
      </c>
      <c r="E208" s="3">
        <v>2078007.69</v>
      </c>
      <c r="F208" s="2">
        <v>0.51944444444444449</v>
      </c>
    </row>
    <row r="209" spans="1:6" x14ac:dyDescent="0.25">
      <c r="A209" s="71" t="s">
        <v>173</v>
      </c>
      <c r="C209" s="3">
        <v>9.2899999999999991</v>
      </c>
      <c r="D209">
        <v>0.43</v>
      </c>
      <c r="E209" s="3">
        <v>8516009.4900000002</v>
      </c>
      <c r="F209" s="2">
        <v>0.52013888888888882</v>
      </c>
    </row>
    <row r="210" spans="1:6" x14ac:dyDescent="0.25">
      <c r="A210" s="71" t="s">
        <v>174</v>
      </c>
      <c r="C210" s="3">
        <v>129.1</v>
      </c>
      <c r="D210">
        <v>-2.79</v>
      </c>
      <c r="E210" s="3">
        <v>170198499.59999999</v>
      </c>
      <c r="F210" s="2">
        <v>0.52013888888888882</v>
      </c>
    </row>
    <row r="211" spans="1:6" x14ac:dyDescent="0.25">
      <c r="A211" s="71" t="s">
        <v>175</v>
      </c>
      <c r="C211" s="3">
        <v>45.02</v>
      </c>
      <c r="D211">
        <v>-2.4300000000000002</v>
      </c>
      <c r="E211" s="3">
        <v>2520452.06</v>
      </c>
      <c r="F211" s="2">
        <v>0.52013888888888882</v>
      </c>
    </row>
    <row r="212" spans="1:6" x14ac:dyDescent="0.25">
      <c r="A212" s="71" t="s">
        <v>176</v>
      </c>
      <c r="C212" s="3">
        <v>1945.9</v>
      </c>
      <c r="D212">
        <v>-0.72</v>
      </c>
      <c r="E212" s="3">
        <v>3714813.3</v>
      </c>
      <c r="F212" s="2">
        <v>0.51666666666666672</v>
      </c>
    </row>
    <row r="213" spans="1:6" x14ac:dyDescent="0.25">
      <c r="A213" s="71" t="s">
        <v>177</v>
      </c>
      <c r="C213" s="3">
        <v>18.22</v>
      </c>
      <c r="D213">
        <v>-1.19</v>
      </c>
      <c r="E213" s="3">
        <v>10834661.699999999</v>
      </c>
      <c r="F213" s="2">
        <v>0.52013888888888882</v>
      </c>
    </row>
    <row r="214" spans="1:6" x14ac:dyDescent="0.25">
      <c r="A214" s="71" t="s">
        <v>178</v>
      </c>
      <c r="C214" s="3">
        <v>9.0500000000000007</v>
      </c>
      <c r="D214">
        <v>-2.48</v>
      </c>
      <c r="E214" s="3">
        <v>200210468.03999999</v>
      </c>
      <c r="F214" s="2">
        <v>0.52013888888888882</v>
      </c>
    </row>
    <row r="215" spans="1:6" x14ac:dyDescent="0.25">
      <c r="A215" s="71" t="s">
        <v>179</v>
      </c>
      <c r="C215" s="3">
        <v>43</v>
      </c>
      <c r="D215">
        <v>-1.83</v>
      </c>
      <c r="E215" s="3">
        <v>7635775.9800000004</v>
      </c>
      <c r="F215" s="2">
        <v>0.51944444444444449</v>
      </c>
    </row>
    <row r="216" spans="1:6" x14ac:dyDescent="0.25">
      <c r="A216" s="71" t="s">
        <v>180</v>
      </c>
      <c r="C216" s="3">
        <v>51.75</v>
      </c>
      <c r="D216">
        <v>-2.73</v>
      </c>
      <c r="E216" s="3">
        <v>10236751.4</v>
      </c>
      <c r="F216" s="2">
        <v>0.51944444444444449</v>
      </c>
    </row>
    <row r="217" spans="1:6" x14ac:dyDescent="0.25">
      <c r="A217" s="71" t="s">
        <v>181</v>
      </c>
      <c r="C217" s="3">
        <v>22.76</v>
      </c>
      <c r="D217">
        <v>-1.22</v>
      </c>
      <c r="E217" s="3">
        <v>7828844.6200000001</v>
      </c>
      <c r="F217" s="2">
        <v>0.52013888888888882</v>
      </c>
    </row>
    <row r="218" spans="1:6" x14ac:dyDescent="0.25">
      <c r="A218" s="71" t="s">
        <v>182</v>
      </c>
      <c r="C218" s="3">
        <v>2.75</v>
      </c>
      <c r="D218">
        <v>0.36</v>
      </c>
      <c r="E218" s="3">
        <v>5286684.6900000004</v>
      </c>
      <c r="F218" s="2">
        <v>0.51944444444444449</v>
      </c>
    </row>
    <row r="219" spans="1:6" x14ac:dyDescent="0.25">
      <c r="A219" s="71" t="s">
        <v>183</v>
      </c>
      <c r="C219" s="3">
        <v>30.44</v>
      </c>
      <c r="D219">
        <v>-3.37</v>
      </c>
      <c r="E219" s="3">
        <v>47763555.159999996</v>
      </c>
      <c r="F219" s="2">
        <v>0.52013888888888882</v>
      </c>
    </row>
    <row r="220" spans="1:6" x14ac:dyDescent="0.25">
      <c r="A220" s="71" t="s">
        <v>184</v>
      </c>
      <c r="C220" s="3">
        <v>141.9</v>
      </c>
      <c r="D220">
        <v>-2.41</v>
      </c>
      <c r="E220" s="3">
        <v>23875379.600000001</v>
      </c>
      <c r="F220" s="2">
        <v>0.52013888888888882</v>
      </c>
    </row>
    <row r="221" spans="1:6" x14ac:dyDescent="0.25">
      <c r="A221" s="71" t="s">
        <v>185</v>
      </c>
      <c r="C221" s="3">
        <v>21.36</v>
      </c>
      <c r="D221">
        <v>-4.04</v>
      </c>
      <c r="E221" s="3">
        <v>5841374.0999999996</v>
      </c>
      <c r="F221" s="2">
        <v>0.52013888888888882</v>
      </c>
    </row>
    <row r="222" spans="1:6" x14ac:dyDescent="0.25">
      <c r="A222" s="71" t="s">
        <v>186</v>
      </c>
      <c r="C222" s="3">
        <v>7.97</v>
      </c>
      <c r="D222">
        <v>-1.36</v>
      </c>
      <c r="E222" s="3">
        <v>3629443.68</v>
      </c>
      <c r="F222" s="2">
        <v>0.51874999999999993</v>
      </c>
    </row>
    <row r="223" spans="1:6" x14ac:dyDescent="0.25">
      <c r="A223" s="71" t="s">
        <v>187</v>
      </c>
      <c r="C223" s="3">
        <v>5223.8</v>
      </c>
      <c r="D223">
        <v>-1.46</v>
      </c>
      <c r="E223" s="3">
        <v>57250834.899999999</v>
      </c>
      <c r="F223" s="2">
        <v>0.52013888888888882</v>
      </c>
    </row>
    <row r="224" spans="1:6" x14ac:dyDescent="0.25">
      <c r="A224" s="71" t="s">
        <v>188</v>
      </c>
      <c r="C224">
        <v>16.29</v>
      </c>
      <c r="D224">
        <v>0.12</v>
      </c>
      <c r="E224" s="3">
        <v>5452994.1799999997</v>
      </c>
      <c r="F224" s="2">
        <v>0.52013888888888882</v>
      </c>
    </row>
    <row r="225" spans="1:6" x14ac:dyDescent="0.25">
      <c r="A225" s="71" t="s">
        <v>189</v>
      </c>
      <c r="C225" s="3">
        <v>74.900000000000006</v>
      </c>
      <c r="D225">
        <v>0.13</v>
      </c>
      <c r="E225" s="3">
        <v>7335852.6500000004</v>
      </c>
      <c r="F225" s="2">
        <v>0.52013888888888882</v>
      </c>
    </row>
    <row r="226" spans="1:6" x14ac:dyDescent="0.25">
      <c r="A226" s="71" t="s">
        <v>190</v>
      </c>
      <c r="C226" s="3">
        <v>59.45</v>
      </c>
      <c r="D226">
        <v>-0.92</v>
      </c>
      <c r="E226" s="3">
        <v>9117960.9499999993</v>
      </c>
      <c r="F226" s="2">
        <v>0.52013888888888882</v>
      </c>
    </row>
    <row r="227" spans="1:6" x14ac:dyDescent="0.25">
      <c r="A227" s="71" t="s">
        <v>191</v>
      </c>
      <c r="C227" s="3">
        <v>29.9</v>
      </c>
      <c r="D227">
        <v>-3.05</v>
      </c>
      <c r="E227" s="3">
        <v>13469930.699999999</v>
      </c>
      <c r="F227" s="2">
        <v>0.52013888888888882</v>
      </c>
    </row>
    <row r="228" spans="1:6" x14ac:dyDescent="0.25">
      <c r="A228" s="71" t="s">
        <v>192</v>
      </c>
      <c r="C228">
        <v>6.86</v>
      </c>
      <c r="D228">
        <v>-3.11</v>
      </c>
      <c r="E228" s="3">
        <v>459142316.86000001</v>
      </c>
      <c r="F228" s="2">
        <v>0.52013888888888882</v>
      </c>
    </row>
    <row r="229" spans="1:6" x14ac:dyDescent="0.25">
      <c r="A229" s="71" t="s">
        <v>193</v>
      </c>
      <c r="C229">
        <v>15.8</v>
      </c>
      <c r="D229">
        <v>-1.25</v>
      </c>
      <c r="E229" s="3">
        <v>16858.599999999999</v>
      </c>
      <c r="F229" s="2">
        <v>0.41319444444444442</v>
      </c>
    </row>
    <row r="230" spans="1:6" x14ac:dyDescent="0.25">
      <c r="A230" s="71" t="s">
        <v>194</v>
      </c>
      <c r="C230">
        <v>30.42</v>
      </c>
      <c r="D230">
        <v>1</v>
      </c>
      <c r="E230" s="3">
        <v>14890570.380000001</v>
      </c>
      <c r="F230" s="2">
        <v>0.52013888888888882</v>
      </c>
    </row>
    <row r="231" spans="1:6" x14ac:dyDescent="0.25">
      <c r="A231" s="71" t="s">
        <v>195</v>
      </c>
      <c r="C231">
        <v>13.96</v>
      </c>
      <c r="D231">
        <v>8.0500000000000007</v>
      </c>
      <c r="E231" s="3">
        <v>196082433.59</v>
      </c>
      <c r="F231" s="2">
        <v>0.52013888888888882</v>
      </c>
    </row>
    <row r="232" spans="1:6" x14ac:dyDescent="0.25">
      <c r="A232" s="71" t="s">
        <v>196</v>
      </c>
      <c r="C232">
        <v>39.46</v>
      </c>
      <c r="D232">
        <v>0</v>
      </c>
      <c r="E232" s="3">
        <v>15744.54</v>
      </c>
      <c r="F232" s="2">
        <v>0.41319444444444442</v>
      </c>
    </row>
    <row r="233" spans="1:6" x14ac:dyDescent="0.25">
      <c r="A233" s="71" t="s">
        <v>197</v>
      </c>
      <c r="C233">
        <v>29.74</v>
      </c>
      <c r="D233">
        <v>-2.2400000000000002</v>
      </c>
      <c r="E233" s="3">
        <v>157172988.52000001</v>
      </c>
      <c r="F233" s="2">
        <v>0.52013888888888882</v>
      </c>
    </row>
    <row r="234" spans="1:6" x14ac:dyDescent="0.25">
      <c r="A234" s="71" t="s">
        <v>198</v>
      </c>
      <c r="C234">
        <v>29.52</v>
      </c>
      <c r="D234">
        <v>-1.6</v>
      </c>
      <c r="E234" s="3">
        <v>319168005.51999998</v>
      </c>
      <c r="F234" s="2">
        <v>0.52013888888888882</v>
      </c>
    </row>
    <row r="235" spans="1:6" x14ac:dyDescent="0.25">
      <c r="A235" s="71" t="s">
        <v>199</v>
      </c>
      <c r="C235">
        <v>20.8</v>
      </c>
      <c r="D235">
        <v>-2.16</v>
      </c>
      <c r="E235" s="3">
        <v>3128255.88</v>
      </c>
      <c r="F235" s="2">
        <v>0.52013888888888882</v>
      </c>
    </row>
    <row r="236" spans="1:6" x14ac:dyDescent="0.25">
      <c r="A236" s="71" t="s">
        <v>200</v>
      </c>
      <c r="C236">
        <v>51.2</v>
      </c>
      <c r="D236">
        <v>4.79</v>
      </c>
      <c r="E236" s="3">
        <v>63973468.359999999</v>
      </c>
      <c r="F236" s="2">
        <v>0.52013888888888882</v>
      </c>
    </row>
    <row r="237" spans="1:6" x14ac:dyDescent="0.25">
      <c r="A237" s="71" t="s">
        <v>201</v>
      </c>
      <c r="C237">
        <v>134</v>
      </c>
      <c r="D237">
        <v>-2.5499999999999998</v>
      </c>
      <c r="E237" s="3">
        <v>10050168.1</v>
      </c>
      <c r="F237" s="2">
        <v>0.51944444444444449</v>
      </c>
    </row>
    <row r="238" spans="1:6" x14ac:dyDescent="0.25">
      <c r="A238" s="71" t="s">
        <v>202</v>
      </c>
      <c r="C238">
        <v>108</v>
      </c>
      <c r="D238">
        <v>-3.14</v>
      </c>
      <c r="E238" s="3">
        <v>29598904.199999999</v>
      </c>
      <c r="F238" s="2">
        <v>0.52013888888888882</v>
      </c>
    </row>
    <row r="239" spans="1:6" x14ac:dyDescent="0.25">
      <c r="A239" s="71" t="s">
        <v>203</v>
      </c>
      <c r="C239">
        <v>37.340000000000003</v>
      </c>
      <c r="D239">
        <v>-1.74</v>
      </c>
      <c r="E239" s="3">
        <v>1222994077.3800001</v>
      </c>
      <c r="F239" s="2">
        <v>0.52013888888888882</v>
      </c>
    </row>
    <row r="240" spans="1:6" x14ac:dyDescent="0.25">
      <c r="A240" s="71" t="s">
        <v>204</v>
      </c>
      <c r="C240">
        <v>6.09</v>
      </c>
      <c r="D240">
        <v>1.5</v>
      </c>
      <c r="E240" s="3">
        <v>6932098.4000000004</v>
      </c>
      <c r="F240" s="2">
        <v>0.52013888888888882</v>
      </c>
    </row>
    <row r="241" spans="1:6" x14ac:dyDescent="0.25">
      <c r="A241" s="71" t="s">
        <v>556</v>
      </c>
      <c r="C241">
        <v>98.4</v>
      </c>
      <c r="D241">
        <v>3.58</v>
      </c>
      <c r="E241" s="3">
        <v>103555525.40000001</v>
      </c>
      <c r="F241" s="2">
        <v>0.52013888888888882</v>
      </c>
    </row>
    <row r="242" spans="1:6" x14ac:dyDescent="0.25">
      <c r="A242" s="71" t="s">
        <v>205</v>
      </c>
      <c r="C242">
        <v>32.340000000000003</v>
      </c>
      <c r="D242">
        <v>1.38</v>
      </c>
      <c r="E242" s="3">
        <v>7420365.3200000003</v>
      </c>
      <c r="F242" s="2">
        <v>0.51944444444444449</v>
      </c>
    </row>
    <row r="243" spans="1:6" x14ac:dyDescent="0.25">
      <c r="A243" s="71" t="s">
        <v>206</v>
      </c>
      <c r="C243">
        <v>61.35</v>
      </c>
      <c r="D243">
        <v>-1.84</v>
      </c>
      <c r="E243" s="3">
        <v>17182283.600000001</v>
      </c>
      <c r="F243" s="2">
        <v>0.51944444444444449</v>
      </c>
    </row>
    <row r="244" spans="1:6" x14ac:dyDescent="0.25">
      <c r="A244" s="71" t="s">
        <v>207</v>
      </c>
      <c r="C244">
        <v>12.8</v>
      </c>
      <c r="D244">
        <v>-0.08</v>
      </c>
      <c r="E244" s="3">
        <v>2145394.2000000002</v>
      </c>
      <c r="F244" s="2">
        <v>0.5180555555555556</v>
      </c>
    </row>
    <row r="245" spans="1:6" x14ac:dyDescent="0.25">
      <c r="A245" s="71" t="s">
        <v>208</v>
      </c>
      <c r="C245">
        <v>5.25</v>
      </c>
      <c r="D245">
        <v>-2.96</v>
      </c>
      <c r="E245" s="3">
        <v>2437885.9300000002</v>
      </c>
      <c r="F245" s="2">
        <v>0.51944444444444449</v>
      </c>
    </row>
    <row r="246" spans="1:6" x14ac:dyDescent="0.25">
      <c r="A246" s="71" t="s">
        <v>209</v>
      </c>
      <c r="C246">
        <v>2.08</v>
      </c>
      <c r="D246">
        <v>-1.42</v>
      </c>
      <c r="E246" s="3">
        <v>11816497.470000001</v>
      </c>
      <c r="F246" s="2">
        <v>0.51944444444444449</v>
      </c>
    </row>
    <row r="247" spans="1:6" x14ac:dyDescent="0.25">
      <c r="A247" s="71" t="s">
        <v>210</v>
      </c>
      <c r="C247">
        <v>5.56</v>
      </c>
      <c r="D247">
        <v>3.35</v>
      </c>
      <c r="E247" s="3">
        <v>4416477.5</v>
      </c>
      <c r="F247" s="2">
        <v>0.52013888888888882</v>
      </c>
    </row>
    <row r="248" spans="1:6" x14ac:dyDescent="0.25">
      <c r="A248" s="71" t="s">
        <v>580</v>
      </c>
      <c r="C248">
        <v>10.36</v>
      </c>
      <c r="D248">
        <v>3.6</v>
      </c>
      <c r="E248" s="3">
        <v>143886244.72999999</v>
      </c>
      <c r="F248" s="2">
        <v>0.52013888888888882</v>
      </c>
    </row>
    <row r="249" spans="1:6" x14ac:dyDescent="0.25">
      <c r="A249" s="71" t="s">
        <v>211</v>
      </c>
      <c r="C249">
        <v>5.32</v>
      </c>
      <c r="D249">
        <v>-2.21</v>
      </c>
      <c r="E249" s="3">
        <v>973310.01</v>
      </c>
      <c r="F249" s="2">
        <v>0.51944444444444449</v>
      </c>
    </row>
    <row r="250" spans="1:6" x14ac:dyDescent="0.25">
      <c r="A250" s="71" t="s">
        <v>662</v>
      </c>
      <c r="C250">
        <v>21.02</v>
      </c>
      <c r="D250">
        <v>-0.38</v>
      </c>
      <c r="E250" s="3">
        <v>26902992.32</v>
      </c>
      <c r="F250" s="2">
        <v>0.52013888888888882</v>
      </c>
    </row>
    <row r="251" spans="1:6" x14ac:dyDescent="0.25">
      <c r="A251" s="71" t="s">
        <v>212</v>
      </c>
      <c r="C251">
        <v>11.27</v>
      </c>
      <c r="D251">
        <v>-1.91</v>
      </c>
      <c r="E251" s="3">
        <v>12286560.560000001</v>
      </c>
      <c r="F251" s="2">
        <v>0.51944444444444449</v>
      </c>
    </row>
    <row r="252" spans="1:6" x14ac:dyDescent="0.25">
      <c r="A252" s="71" t="s">
        <v>213</v>
      </c>
      <c r="C252">
        <v>58.2</v>
      </c>
      <c r="D252">
        <v>9.92</v>
      </c>
      <c r="E252" s="3">
        <v>44047215</v>
      </c>
      <c r="F252" s="2">
        <v>0.52013888888888882</v>
      </c>
    </row>
    <row r="253" spans="1:6" x14ac:dyDescent="0.25">
      <c r="A253" s="71" t="s">
        <v>214</v>
      </c>
      <c r="C253">
        <v>11.23</v>
      </c>
      <c r="D253">
        <v>-4.75</v>
      </c>
      <c r="E253" s="3">
        <v>77842643.420000002</v>
      </c>
      <c r="F253" s="2">
        <v>0.52013888888888882</v>
      </c>
    </row>
    <row r="254" spans="1:6" x14ac:dyDescent="0.25">
      <c r="A254" s="71" t="s">
        <v>215</v>
      </c>
      <c r="C254">
        <v>131.9</v>
      </c>
      <c r="D254">
        <v>-0.6</v>
      </c>
      <c r="E254" s="3">
        <v>5463396.5999999996</v>
      </c>
      <c r="F254" s="2">
        <v>0.52013888888888882</v>
      </c>
    </row>
    <row r="255" spans="1:6" x14ac:dyDescent="0.25">
      <c r="A255" s="71" t="s">
        <v>216</v>
      </c>
      <c r="C255">
        <v>12.41</v>
      </c>
      <c r="D255">
        <v>-1.74</v>
      </c>
      <c r="E255" s="3">
        <v>2834079.04</v>
      </c>
      <c r="F255" s="2">
        <v>0.52013888888888882</v>
      </c>
    </row>
    <row r="256" spans="1:6" x14ac:dyDescent="0.25">
      <c r="A256" s="71" t="s">
        <v>217</v>
      </c>
      <c r="C256">
        <v>2.19</v>
      </c>
      <c r="D256">
        <v>-3.95</v>
      </c>
      <c r="E256" s="3">
        <v>23445910.149999999</v>
      </c>
      <c r="F256" s="2">
        <v>0.51944444444444449</v>
      </c>
    </row>
    <row r="257" spans="1:6" x14ac:dyDescent="0.25">
      <c r="A257" s="71" t="s">
        <v>218</v>
      </c>
      <c r="C257">
        <v>7.13</v>
      </c>
      <c r="D257">
        <v>2.2999999999999998</v>
      </c>
      <c r="E257" s="3">
        <v>23590939.859999999</v>
      </c>
      <c r="F257" s="2">
        <v>0.51944444444444449</v>
      </c>
    </row>
    <row r="258" spans="1:6" x14ac:dyDescent="0.25">
      <c r="A258" s="71" t="s">
        <v>219</v>
      </c>
      <c r="C258">
        <v>558.20000000000005</v>
      </c>
      <c r="D258">
        <v>-2.2200000000000002</v>
      </c>
      <c r="E258" s="3">
        <v>305154028.30000001</v>
      </c>
      <c r="F258" s="2">
        <v>0.52013888888888882</v>
      </c>
    </row>
    <row r="259" spans="1:6" x14ac:dyDescent="0.25">
      <c r="A259" s="71" t="s">
        <v>220</v>
      </c>
      <c r="C259">
        <v>25.58</v>
      </c>
      <c r="D259">
        <v>0.08</v>
      </c>
      <c r="E259" s="3">
        <v>489610749.88</v>
      </c>
      <c r="F259" s="2">
        <v>0.52013888888888882</v>
      </c>
    </row>
    <row r="260" spans="1:6" x14ac:dyDescent="0.25">
      <c r="A260" s="71" t="s">
        <v>221</v>
      </c>
      <c r="C260">
        <v>21.44</v>
      </c>
      <c r="D260">
        <v>-1.83</v>
      </c>
      <c r="E260" s="3">
        <v>782889.44</v>
      </c>
      <c r="F260" s="2">
        <v>0.51944444444444449</v>
      </c>
    </row>
    <row r="261" spans="1:6" x14ac:dyDescent="0.25">
      <c r="A261" s="71" t="s">
        <v>222</v>
      </c>
      <c r="C261">
        <v>7.02</v>
      </c>
      <c r="D261">
        <v>-0.99</v>
      </c>
      <c r="E261" s="3">
        <v>3028299.25</v>
      </c>
      <c r="F261" s="2">
        <v>0.51944444444444449</v>
      </c>
    </row>
    <row r="262" spans="1:6" x14ac:dyDescent="0.25">
      <c r="A262" s="71" t="s">
        <v>223</v>
      </c>
      <c r="C262">
        <v>28.74</v>
      </c>
      <c r="D262">
        <v>4.66</v>
      </c>
      <c r="E262" s="3">
        <v>40794128.5</v>
      </c>
      <c r="F262" s="2">
        <v>0.52013888888888882</v>
      </c>
    </row>
    <row r="263" spans="1:6" x14ac:dyDescent="0.25">
      <c r="A263" s="71" t="s">
        <v>224</v>
      </c>
      <c r="C263">
        <v>55.05</v>
      </c>
      <c r="D263">
        <v>1.01</v>
      </c>
      <c r="E263" s="3">
        <v>158062766.09999999</v>
      </c>
      <c r="F263" s="2">
        <v>0.52013888888888882</v>
      </c>
    </row>
    <row r="264" spans="1:6" x14ac:dyDescent="0.25">
      <c r="A264" s="71" t="s">
        <v>225</v>
      </c>
      <c r="C264">
        <v>6.87</v>
      </c>
      <c r="D264">
        <v>0.59</v>
      </c>
      <c r="E264" s="3">
        <v>7878339.6900000004</v>
      </c>
      <c r="F264" s="2">
        <v>0.52013888888888882</v>
      </c>
    </row>
    <row r="265" spans="1:6" x14ac:dyDescent="0.25">
      <c r="A265" s="71" t="s">
        <v>226</v>
      </c>
      <c r="C265">
        <v>16.399999999999999</v>
      </c>
      <c r="D265">
        <v>8.9700000000000006</v>
      </c>
      <c r="E265" s="3">
        <v>147192566.00999999</v>
      </c>
      <c r="F265" s="2">
        <v>0.52013888888888882</v>
      </c>
    </row>
    <row r="266" spans="1:6" x14ac:dyDescent="0.25">
      <c r="A266" s="71" t="s">
        <v>227</v>
      </c>
      <c r="C266">
        <v>280.2</v>
      </c>
      <c r="D266">
        <v>3.17</v>
      </c>
      <c r="E266" s="3">
        <v>376624654.30000001</v>
      </c>
      <c r="F266" s="2">
        <v>0.52013888888888882</v>
      </c>
    </row>
    <row r="267" spans="1:6" x14ac:dyDescent="0.25">
      <c r="A267" s="71" t="s">
        <v>228</v>
      </c>
      <c r="C267">
        <v>11.25</v>
      </c>
      <c r="D267">
        <v>0</v>
      </c>
      <c r="E267" s="3">
        <v>3028090.42</v>
      </c>
      <c r="F267" s="2">
        <v>0.51944444444444449</v>
      </c>
    </row>
    <row r="268" spans="1:6" x14ac:dyDescent="0.25">
      <c r="A268" s="71" t="s">
        <v>229</v>
      </c>
      <c r="C268">
        <v>23.12</v>
      </c>
      <c r="D268">
        <v>-1.7</v>
      </c>
      <c r="E268" s="3">
        <v>3905751.28</v>
      </c>
      <c r="F268" s="2">
        <v>0.52013888888888882</v>
      </c>
    </row>
    <row r="269" spans="1:6" x14ac:dyDescent="0.25">
      <c r="A269" s="71" t="s">
        <v>230</v>
      </c>
      <c r="C269">
        <v>9.41</v>
      </c>
      <c r="D269">
        <v>-5.81</v>
      </c>
      <c r="E269" s="3">
        <v>13996368.560000001</v>
      </c>
      <c r="F269" s="2">
        <v>0.52013888888888882</v>
      </c>
    </row>
    <row r="270" spans="1:6" x14ac:dyDescent="0.25">
      <c r="A270" s="71" t="s">
        <v>231</v>
      </c>
      <c r="C270">
        <v>9.34</v>
      </c>
      <c r="D270">
        <v>-4.4000000000000004</v>
      </c>
      <c r="E270" s="3">
        <v>102249646.91</v>
      </c>
      <c r="F270" s="2">
        <v>0.52013888888888882</v>
      </c>
    </row>
    <row r="271" spans="1:6" x14ac:dyDescent="0.25">
      <c r="A271" s="71" t="s">
        <v>232</v>
      </c>
      <c r="C271">
        <v>10.64</v>
      </c>
      <c r="D271">
        <v>-3.45</v>
      </c>
      <c r="E271" s="3">
        <v>16073459.98</v>
      </c>
      <c r="F271" s="2">
        <v>0.52013888888888882</v>
      </c>
    </row>
    <row r="272" spans="1:6" x14ac:dyDescent="0.25">
      <c r="A272" s="71" t="s">
        <v>817</v>
      </c>
      <c r="C272">
        <v>23.56</v>
      </c>
      <c r="D272">
        <v>9.99</v>
      </c>
      <c r="E272" s="3">
        <v>787832015.46000004</v>
      </c>
      <c r="F272" s="2">
        <v>0.52013888888888882</v>
      </c>
    </row>
    <row r="273" spans="1:6" x14ac:dyDescent="0.25">
      <c r="A273" s="71" t="s">
        <v>233</v>
      </c>
      <c r="C273">
        <v>146.80000000000001</v>
      </c>
      <c r="D273">
        <v>2.23</v>
      </c>
      <c r="E273" s="3">
        <v>56597349.5</v>
      </c>
      <c r="F273" s="2">
        <v>0.52013888888888882</v>
      </c>
    </row>
    <row r="274" spans="1:6" x14ac:dyDescent="0.25">
      <c r="A274" s="71" t="s">
        <v>234</v>
      </c>
      <c r="C274">
        <v>14.82</v>
      </c>
      <c r="D274">
        <v>-2.31</v>
      </c>
      <c r="E274" s="3">
        <v>7584988.75</v>
      </c>
      <c r="F274" s="2">
        <v>0.52013888888888882</v>
      </c>
    </row>
    <row r="275" spans="1:6" x14ac:dyDescent="0.25">
      <c r="A275" s="71" t="s">
        <v>235</v>
      </c>
      <c r="C275">
        <v>16.440000000000001</v>
      </c>
      <c r="D275">
        <v>-1.56</v>
      </c>
      <c r="E275" s="3">
        <v>14694207.83</v>
      </c>
      <c r="F275" s="2">
        <v>0.52013888888888882</v>
      </c>
    </row>
    <row r="276" spans="1:6" x14ac:dyDescent="0.25">
      <c r="A276" s="71" t="s">
        <v>236</v>
      </c>
      <c r="C276">
        <v>4.55</v>
      </c>
      <c r="D276">
        <v>0.89</v>
      </c>
      <c r="E276" s="3">
        <v>1581307.58</v>
      </c>
      <c r="F276" s="2">
        <v>0.5180555555555556</v>
      </c>
    </row>
    <row r="277" spans="1:6" x14ac:dyDescent="0.25">
      <c r="A277" s="71" t="s">
        <v>237</v>
      </c>
      <c r="C277">
        <v>14.98</v>
      </c>
      <c r="D277">
        <v>-3.54</v>
      </c>
      <c r="E277" s="3">
        <v>6687765.0099999998</v>
      </c>
      <c r="F277" s="2">
        <v>0.52013888888888882</v>
      </c>
    </row>
    <row r="278" spans="1:6" x14ac:dyDescent="0.25">
      <c r="A278" s="71" t="s">
        <v>238</v>
      </c>
      <c r="C278">
        <v>7.15</v>
      </c>
      <c r="D278">
        <v>1.1299999999999999</v>
      </c>
      <c r="E278" s="3">
        <v>4292293.07</v>
      </c>
      <c r="F278" s="2">
        <v>0.51944444444444449</v>
      </c>
    </row>
    <row r="279" spans="1:6" x14ac:dyDescent="0.25">
      <c r="A279" s="71" t="s">
        <v>239</v>
      </c>
      <c r="C279">
        <v>3.05</v>
      </c>
      <c r="D279">
        <v>-0.97</v>
      </c>
      <c r="E279" s="3">
        <v>34023832.189999998</v>
      </c>
      <c r="F279" s="2">
        <v>0.52013888888888882</v>
      </c>
    </row>
    <row r="280" spans="1:6" x14ac:dyDescent="0.25">
      <c r="A280" s="71" t="s">
        <v>240</v>
      </c>
      <c r="C280">
        <v>8.6199999999999992</v>
      </c>
      <c r="D280">
        <v>-5.59</v>
      </c>
      <c r="E280" s="3">
        <v>204228144.66999999</v>
      </c>
      <c r="F280" s="2">
        <v>0.52013888888888882</v>
      </c>
    </row>
    <row r="281" spans="1:6" x14ac:dyDescent="0.25">
      <c r="A281" s="71" t="s">
        <v>241</v>
      </c>
      <c r="C281">
        <v>212</v>
      </c>
      <c r="D281">
        <v>-3.99</v>
      </c>
      <c r="E281" s="3">
        <v>837711949.60000002</v>
      </c>
      <c r="F281" s="2">
        <v>0.52013888888888882</v>
      </c>
    </row>
    <row r="282" spans="1:6" x14ac:dyDescent="0.25">
      <c r="A282" s="71" t="s">
        <v>242</v>
      </c>
      <c r="C282">
        <v>17.12</v>
      </c>
      <c r="D282">
        <v>-2.56</v>
      </c>
      <c r="E282" s="3">
        <v>20007944.309999999</v>
      </c>
      <c r="F282" s="2">
        <v>0.52013888888888882</v>
      </c>
    </row>
    <row r="283" spans="1:6" x14ac:dyDescent="0.25">
      <c r="A283" s="71" t="s">
        <v>243</v>
      </c>
      <c r="C283">
        <v>14.76</v>
      </c>
      <c r="D283">
        <v>-1.1399999999999999</v>
      </c>
      <c r="E283" s="3">
        <v>10245569.550000001</v>
      </c>
      <c r="F283" s="2">
        <v>0.51944444444444449</v>
      </c>
    </row>
    <row r="284" spans="1:6" x14ac:dyDescent="0.25">
      <c r="A284" s="71" t="s">
        <v>244</v>
      </c>
      <c r="C284">
        <v>11.16</v>
      </c>
      <c r="D284">
        <v>2.57</v>
      </c>
      <c r="E284" s="3">
        <v>227252869.78999999</v>
      </c>
      <c r="F284" s="2">
        <v>0.52013888888888882</v>
      </c>
    </row>
    <row r="285" spans="1:6" x14ac:dyDescent="0.25">
      <c r="A285" s="71" t="s">
        <v>245</v>
      </c>
      <c r="C285">
        <v>7.88</v>
      </c>
      <c r="D285">
        <v>-0.13</v>
      </c>
      <c r="E285" s="3">
        <v>2641238.13</v>
      </c>
      <c r="F285" s="2">
        <v>0.52013888888888882</v>
      </c>
    </row>
    <row r="286" spans="1:6" x14ac:dyDescent="0.25">
      <c r="A286" s="71" t="s">
        <v>246</v>
      </c>
      <c r="C286">
        <v>2.86</v>
      </c>
      <c r="D286">
        <v>-1.04</v>
      </c>
      <c r="E286" s="3">
        <v>10869540.960000001</v>
      </c>
      <c r="F286" s="2">
        <v>0.52013888888888882</v>
      </c>
    </row>
    <row r="287" spans="1:6" x14ac:dyDescent="0.25">
      <c r="A287" s="71" t="s">
        <v>247</v>
      </c>
      <c r="C287">
        <v>18.45</v>
      </c>
      <c r="D287">
        <v>0.33</v>
      </c>
      <c r="E287" s="3">
        <v>3786773.16</v>
      </c>
      <c r="F287" s="2">
        <v>0.51944444444444449</v>
      </c>
    </row>
    <row r="288" spans="1:6" x14ac:dyDescent="0.25">
      <c r="A288" s="71" t="s">
        <v>248</v>
      </c>
      <c r="C288">
        <v>29.28</v>
      </c>
      <c r="D288">
        <v>-2.59</v>
      </c>
      <c r="E288" s="3">
        <v>303828931.30000001</v>
      </c>
      <c r="F288" s="2">
        <v>0.52013888888888882</v>
      </c>
    </row>
    <row r="289" spans="1:6" x14ac:dyDescent="0.25">
      <c r="A289" s="71" t="s">
        <v>644</v>
      </c>
      <c r="C289">
        <v>51.55</v>
      </c>
      <c r="D289">
        <v>-1.25</v>
      </c>
      <c r="E289" s="3">
        <v>12750544.699999999</v>
      </c>
      <c r="F289" s="2">
        <v>0.52013888888888882</v>
      </c>
    </row>
    <row r="290" spans="1:6" x14ac:dyDescent="0.25">
      <c r="A290" s="71" t="s">
        <v>249</v>
      </c>
      <c r="C290">
        <v>4.1500000000000004</v>
      </c>
      <c r="D290">
        <v>-1.89</v>
      </c>
      <c r="E290" s="3">
        <v>29568963.370000001</v>
      </c>
      <c r="F290" s="2">
        <v>0.52013888888888882</v>
      </c>
    </row>
    <row r="291" spans="1:6" x14ac:dyDescent="0.25">
      <c r="A291" s="71" t="s">
        <v>250</v>
      </c>
      <c r="C291">
        <v>30</v>
      </c>
      <c r="D291">
        <v>0</v>
      </c>
      <c r="E291" s="3">
        <v>8444872.1799999997</v>
      </c>
      <c r="F291" s="2">
        <v>0.51944444444444449</v>
      </c>
    </row>
    <row r="292" spans="1:6" x14ac:dyDescent="0.25">
      <c r="A292" s="71" t="s">
        <v>251</v>
      </c>
      <c r="C292" s="3">
        <v>4.8099999999999996</v>
      </c>
      <c r="D292">
        <v>-1.84</v>
      </c>
      <c r="E292" s="3">
        <v>3799049.67</v>
      </c>
      <c r="F292" s="2">
        <v>0.52013888888888882</v>
      </c>
    </row>
    <row r="293" spans="1:6" x14ac:dyDescent="0.25">
      <c r="A293" s="71" t="s">
        <v>252</v>
      </c>
      <c r="C293" s="3">
        <v>8.25</v>
      </c>
      <c r="D293">
        <v>1.48</v>
      </c>
      <c r="E293" s="3">
        <v>77428525.790000007</v>
      </c>
      <c r="F293" s="2">
        <v>0.52013888888888882</v>
      </c>
    </row>
    <row r="294" spans="1:6" x14ac:dyDescent="0.25">
      <c r="A294" s="71" t="s">
        <v>253</v>
      </c>
      <c r="C294" s="3">
        <v>5.4</v>
      </c>
      <c r="D294">
        <v>-3.57</v>
      </c>
      <c r="E294" s="3">
        <v>11673152.99</v>
      </c>
      <c r="F294" s="2">
        <v>0.52013888888888882</v>
      </c>
    </row>
    <row r="295" spans="1:6" x14ac:dyDescent="0.25">
      <c r="A295" s="71" t="s">
        <v>254</v>
      </c>
      <c r="C295" s="3">
        <v>7.11</v>
      </c>
      <c r="D295">
        <v>-2.4700000000000002</v>
      </c>
      <c r="E295" s="3">
        <v>5355030</v>
      </c>
      <c r="F295" s="2">
        <v>0.51944444444444449</v>
      </c>
    </row>
    <row r="296" spans="1:6" x14ac:dyDescent="0.25">
      <c r="A296" s="71" t="s">
        <v>255</v>
      </c>
      <c r="C296" s="3">
        <v>26.9</v>
      </c>
      <c r="D296">
        <v>-6.66</v>
      </c>
      <c r="E296" s="3">
        <v>4153123.44</v>
      </c>
      <c r="F296" s="2">
        <v>0.52013888888888882</v>
      </c>
    </row>
    <row r="297" spans="1:6" x14ac:dyDescent="0.25">
      <c r="A297" s="71" t="s">
        <v>256</v>
      </c>
      <c r="C297" s="3">
        <v>3.42</v>
      </c>
      <c r="D297">
        <v>-2.0099999999999998</v>
      </c>
      <c r="E297" s="3">
        <v>853143.07</v>
      </c>
      <c r="F297" s="2">
        <v>0.51874999999999993</v>
      </c>
    </row>
    <row r="298" spans="1:6" x14ac:dyDescent="0.25">
      <c r="A298" s="71" t="s">
        <v>257</v>
      </c>
      <c r="C298" s="3">
        <v>1.64</v>
      </c>
      <c r="D298">
        <v>-2.38</v>
      </c>
      <c r="E298" s="3">
        <v>15919985.029999999</v>
      </c>
      <c r="F298" s="2">
        <v>0.52013888888888882</v>
      </c>
    </row>
    <row r="299" spans="1:6" x14ac:dyDescent="0.25">
      <c r="A299" s="71" t="s">
        <v>258</v>
      </c>
      <c r="C299" s="3">
        <v>134</v>
      </c>
      <c r="D299">
        <v>1.52</v>
      </c>
      <c r="E299" s="3">
        <v>3331384.5</v>
      </c>
      <c r="F299" s="2">
        <v>0.5180555555555556</v>
      </c>
    </row>
    <row r="300" spans="1:6" x14ac:dyDescent="0.25">
      <c r="A300" s="71" t="s">
        <v>259</v>
      </c>
      <c r="C300" s="3">
        <v>1.6</v>
      </c>
      <c r="D300">
        <v>-1.84</v>
      </c>
      <c r="E300" s="3">
        <v>5361466.5</v>
      </c>
      <c r="F300" s="2">
        <v>0.52013888888888882</v>
      </c>
    </row>
    <row r="301" spans="1:6" x14ac:dyDescent="0.25">
      <c r="A301" s="71" t="s">
        <v>260</v>
      </c>
      <c r="C301" s="3">
        <v>1.08</v>
      </c>
      <c r="D301">
        <v>-2.7</v>
      </c>
      <c r="E301" s="3">
        <v>6298423.7999999998</v>
      </c>
      <c r="F301" s="2">
        <v>0.52013888888888882</v>
      </c>
    </row>
    <row r="302" spans="1:6" x14ac:dyDescent="0.25">
      <c r="A302" s="71" t="s">
        <v>261</v>
      </c>
      <c r="C302" s="3">
        <v>0.88</v>
      </c>
      <c r="D302">
        <v>-1.1200000000000001</v>
      </c>
      <c r="E302" s="3">
        <v>23201307.620000001</v>
      </c>
      <c r="F302" s="2">
        <v>0.52013888888888882</v>
      </c>
    </row>
    <row r="303" spans="1:6" x14ac:dyDescent="0.25">
      <c r="A303" s="71" t="s">
        <v>262</v>
      </c>
      <c r="C303" s="3">
        <v>1.05</v>
      </c>
      <c r="D303">
        <v>-2.78</v>
      </c>
      <c r="E303" s="3">
        <v>15484802.84</v>
      </c>
      <c r="F303" s="2">
        <v>0.52013888888888882</v>
      </c>
    </row>
    <row r="304" spans="1:6" x14ac:dyDescent="0.25">
      <c r="A304" s="71" t="s">
        <v>263</v>
      </c>
      <c r="C304" s="3">
        <v>0.98</v>
      </c>
      <c r="D304">
        <v>-1.01</v>
      </c>
      <c r="E304" s="3">
        <v>7181883.9800000004</v>
      </c>
      <c r="F304" s="2">
        <v>0.52013888888888882</v>
      </c>
    </row>
    <row r="305" spans="1:6" x14ac:dyDescent="0.25">
      <c r="A305" s="71" t="s">
        <v>560</v>
      </c>
      <c r="C305" s="3">
        <v>297.39999999999998</v>
      </c>
      <c r="D305">
        <v>-0.5</v>
      </c>
      <c r="E305" s="3">
        <v>9223061.6999999993</v>
      </c>
      <c r="F305" s="2">
        <v>0.51944444444444449</v>
      </c>
    </row>
    <row r="306" spans="1:6" x14ac:dyDescent="0.25">
      <c r="A306" s="71" t="s">
        <v>264</v>
      </c>
      <c r="C306" s="3">
        <v>19.440000000000001</v>
      </c>
      <c r="D306">
        <v>3.18</v>
      </c>
      <c r="E306" s="3">
        <v>34449547.729999997</v>
      </c>
      <c r="F306" s="2">
        <v>0.52013888888888882</v>
      </c>
    </row>
    <row r="307" spans="1:6" x14ac:dyDescent="0.25">
      <c r="A307" s="71" t="s">
        <v>265</v>
      </c>
      <c r="C307" s="3">
        <v>8.26</v>
      </c>
      <c r="D307">
        <v>-2.36</v>
      </c>
      <c r="E307" s="3">
        <v>11098296.1</v>
      </c>
      <c r="F307" s="2">
        <v>0.51944444444444449</v>
      </c>
    </row>
    <row r="308" spans="1:6" x14ac:dyDescent="0.25">
      <c r="A308" s="71" t="s">
        <v>266</v>
      </c>
      <c r="C308" s="3">
        <v>81.099999999999994</v>
      </c>
      <c r="D308">
        <v>-1.99</v>
      </c>
      <c r="E308" s="3">
        <v>3863700.5</v>
      </c>
      <c r="F308" s="2">
        <v>0.52013888888888882</v>
      </c>
    </row>
    <row r="309" spans="1:6" x14ac:dyDescent="0.25">
      <c r="A309" s="71" t="s">
        <v>267</v>
      </c>
      <c r="C309" s="3">
        <v>21.7</v>
      </c>
      <c r="D309">
        <v>-1.9</v>
      </c>
      <c r="E309" s="3">
        <v>14595340.060000001</v>
      </c>
      <c r="F309" s="2">
        <v>0.52013888888888882</v>
      </c>
    </row>
    <row r="310" spans="1:6" x14ac:dyDescent="0.25">
      <c r="A310" s="71" t="s">
        <v>268</v>
      </c>
      <c r="C310" s="3">
        <v>128.30000000000001</v>
      </c>
      <c r="D310">
        <v>-6.35</v>
      </c>
      <c r="E310" s="3">
        <v>58667952.100000001</v>
      </c>
      <c r="F310" s="2">
        <v>0.51944444444444449</v>
      </c>
    </row>
    <row r="311" spans="1:6" x14ac:dyDescent="0.25">
      <c r="A311" s="71" t="s">
        <v>269</v>
      </c>
      <c r="C311" s="3">
        <v>29.58</v>
      </c>
      <c r="D311">
        <v>4.5999999999999996</v>
      </c>
      <c r="E311" s="3">
        <v>165893409.28</v>
      </c>
      <c r="F311" s="2">
        <v>0.52013888888888882</v>
      </c>
    </row>
    <row r="312" spans="1:6" x14ac:dyDescent="0.25">
      <c r="A312" s="71" t="s">
        <v>270</v>
      </c>
      <c r="C312" s="3">
        <v>0</v>
      </c>
      <c r="D312">
        <v>0</v>
      </c>
      <c r="E312" s="3">
        <v>0</v>
      </c>
      <c r="F312" s="2">
        <v>0.75694444444444453</v>
      </c>
    </row>
    <row r="313" spans="1:6" x14ac:dyDescent="0.25">
      <c r="A313" s="71" t="s">
        <v>271</v>
      </c>
      <c r="C313" s="3">
        <v>72.150000000000006</v>
      </c>
      <c r="D313">
        <v>0</v>
      </c>
      <c r="E313" s="3">
        <v>8166586.3499999996</v>
      </c>
      <c r="F313" s="2">
        <v>0.41319444444444442</v>
      </c>
    </row>
    <row r="314" spans="1:6" x14ac:dyDescent="0.25">
      <c r="A314" s="71" t="s">
        <v>272</v>
      </c>
      <c r="C314" s="3">
        <v>0</v>
      </c>
      <c r="D314">
        <v>0</v>
      </c>
      <c r="E314" s="3">
        <v>0</v>
      </c>
      <c r="F314" s="2">
        <v>0.75694444444444453</v>
      </c>
    </row>
    <row r="315" spans="1:6" x14ac:dyDescent="0.25">
      <c r="A315" s="71" t="s">
        <v>273</v>
      </c>
      <c r="C315" s="3">
        <v>14.22</v>
      </c>
      <c r="D315">
        <v>-3.4</v>
      </c>
      <c r="E315" s="3">
        <v>2051193806.71</v>
      </c>
      <c r="F315" s="2">
        <v>0.52013888888888882</v>
      </c>
    </row>
    <row r="316" spans="1:6" x14ac:dyDescent="0.25">
      <c r="A316" s="71" t="s">
        <v>274</v>
      </c>
      <c r="C316" s="3">
        <v>36.200000000000003</v>
      </c>
      <c r="D316">
        <v>-2.79</v>
      </c>
      <c r="E316" s="3">
        <v>163943919.13999999</v>
      </c>
      <c r="F316" s="2">
        <v>0.52013888888888882</v>
      </c>
    </row>
    <row r="317" spans="1:6" x14ac:dyDescent="0.25">
      <c r="A317" s="71" t="s">
        <v>275</v>
      </c>
      <c r="C317" s="3">
        <v>5.83</v>
      </c>
      <c r="D317">
        <v>-2.35</v>
      </c>
      <c r="E317" s="3">
        <v>24064764.289999999</v>
      </c>
      <c r="F317" s="2">
        <v>0.52013888888888882</v>
      </c>
    </row>
    <row r="318" spans="1:6" x14ac:dyDescent="0.25">
      <c r="A318" s="71" t="s">
        <v>276</v>
      </c>
      <c r="C318" s="3">
        <v>15.35</v>
      </c>
      <c r="D318">
        <v>-2.97</v>
      </c>
      <c r="E318" s="3">
        <v>14040706.68</v>
      </c>
      <c r="F318" s="2">
        <v>0.52013888888888882</v>
      </c>
    </row>
    <row r="319" spans="1:6" x14ac:dyDescent="0.25">
      <c r="A319" s="71" t="s">
        <v>277</v>
      </c>
      <c r="C319" s="3">
        <v>10.029999999999999</v>
      </c>
      <c r="D319">
        <v>-1.38</v>
      </c>
      <c r="E319" s="3">
        <v>54313598.409999996</v>
      </c>
      <c r="F319" s="2">
        <v>0.52013888888888882</v>
      </c>
    </row>
    <row r="320" spans="1:6" x14ac:dyDescent="0.25">
      <c r="A320" s="71" t="s">
        <v>278</v>
      </c>
      <c r="C320" s="3">
        <v>5.84</v>
      </c>
      <c r="D320">
        <v>-2.5</v>
      </c>
      <c r="E320" s="3">
        <v>8064855.5499999998</v>
      </c>
      <c r="F320" s="2">
        <v>0.52013888888888882</v>
      </c>
    </row>
    <row r="321" spans="1:6" x14ac:dyDescent="0.25">
      <c r="A321" s="71" t="s">
        <v>279</v>
      </c>
      <c r="C321" s="3">
        <v>0</v>
      </c>
      <c r="D321">
        <v>0</v>
      </c>
      <c r="E321" s="3">
        <v>0</v>
      </c>
      <c r="F321" s="2">
        <v>0.75694444444444453</v>
      </c>
    </row>
    <row r="322" spans="1:6" x14ac:dyDescent="0.25">
      <c r="A322" s="71" t="s">
        <v>280</v>
      </c>
      <c r="C322" s="3">
        <v>50.35</v>
      </c>
      <c r="D322">
        <v>-2.8</v>
      </c>
      <c r="E322" s="3">
        <v>17564015</v>
      </c>
      <c r="F322" s="2">
        <v>0.52013888888888882</v>
      </c>
    </row>
    <row r="323" spans="1:6" x14ac:dyDescent="0.25">
      <c r="A323" s="71" t="s">
        <v>281</v>
      </c>
      <c r="C323" s="3">
        <v>25.98</v>
      </c>
      <c r="D323">
        <v>-0.08</v>
      </c>
      <c r="E323" s="3">
        <v>29265984.780000001</v>
      </c>
      <c r="F323" s="2">
        <v>0.52013888888888882</v>
      </c>
    </row>
    <row r="324" spans="1:6" x14ac:dyDescent="0.25">
      <c r="A324" s="71" t="s">
        <v>282</v>
      </c>
      <c r="C324" s="3">
        <v>5.48</v>
      </c>
      <c r="D324">
        <v>-1.44</v>
      </c>
      <c r="E324" s="3">
        <v>5638584.3899999997</v>
      </c>
      <c r="F324" s="2">
        <v>0.52013888888888882</v>
      </c>
    </row>
    <row r="325" spans="1:6" x14ac:dyDescent="0.25">
      <c r="A325" s="71" t="s">
        <v>283</v>
      </c>
      <c r="C325">
        <v>2.88</v>
      </c>
      <c r="D325">
        <v>-1.03</v>
      </c>
      <c r="E325" s="3">
        <v>3348921.97</v>
      </c>
      <c r="F325" s="2">
        <v>0.5180555555555556</v>
      </c>
    </row>
    <row r="326" spans="1:6" x14ac:dyDescent="0.25">
      <c r="A326" s="71" t="s">
        <v>284</v>
      </c>
      <c r="C326">
        <v>5.73</v>
      </c>
      <c r="D326">
        <v>1.6</v>
      </c>
      <c r="E326" s="3">
        <v>11221242.27</v>
      </c>
      <c r="F326" s="2">
        <v>0.52013888888888882</v>
      </c>
    </row>
    <row r="327" spans="1:6" x14ac:dyDescent="0.25">
      <c r="A327" s="71" t="s">
        <v>561</v>
      </c>
      <c r="C327">
        <v>22.38</v>
      </c>
      <c r="D327">
        <v>-1.24</v>
      </c>
      <c r="E327" s="3">
        <v>4462451.0999999996</v>
      </c>
      <c r="F327" s="2">
        <v>0.51944444444444449</v>
      </c>
    </row>
    <row r="328" spans="1:6" x14ac:dyDescent="0.25">
      <c r="A328" s="71" t="s">
        <v>285</v>
      </c>
      <c r="C328">
        <v>6.13</v>
      </c>
      <c r="D328">
        <v>-0.33</v>
      </c>
      <c r="E328" s="3">
        <v>81700006.870000005</v>
      </c>
      <c r="F328" s="2">
        <v>0.52013888888888882</v>
      </c>
    </row>
    <row r="329" spans="1:6" x14ac:dyDescent="0.25">
      <c r="A329" s="71" t="s">
        <v>286</v>
      </c>
      <c r="C329">
        <v>109.7</v>
      </c>
      <c r="D329">
        <v>-2.3199999999999998</v>
      </c>
      <c r="E329" s="3">
        <v>52367043.899999999</v>
      </c>
      <c r="F329" s="2">
        <v>0.51944444444444449</v>
      </c>
    </row>
    <row r="330" spans="1:6" x14ac:dyDescent="0.25">
      <c r="A330" s="71" t="s">
        <v>287</v>
      </c>
      <c r="C330">
        <v>94.95</v>
      </c>
      <c r="D330">
        <v>-3.75</v>
      </c>
      <c r="E330" s="3">
        <v>3075800.4</v>
      </c>
      <c r="F330" s="2">
        <v>0.51874999999999993</v>
      </c>
    </row>
    <row r="331" spans="1:6" x14ac:dyDescent="0.25">
      <c r="A331" s="71" t="s">
        <v>288</v>
      </c>
      <c r="C331">
        <v>17.989999999999998</v>
      </c>
      <c r="D331">
        <v>-2.23</v>
      </c>
      <c r="E331" s="3">
        <v>15296356.48</v>
      </c>
      <c r="F331" s="2">
        <v>0.51944444444444449</v>
      </c>
    </row>
    <row r="332" spans="1:6" x14ac:dyDescent="0.25">
      <c r="A332" s="71" t="s">
        <v>289</v>
      </c>
      <c r="C332">
        <v>9.23</v>
      </c>
      <c r="D332">
        <v>0.98</v>
      </c>
      <c r="E332" s="3">
        <v>231314468.22999999</v>
      </c>
      <c r="F332" s="2">
        <v>0.52013888888888882</v>
      </c>
    </row>
    <row r="333" spans="1:6" x14ac:dyDescent="0.25">
      <c r="A333" s="71" t="s">
        <v>290</v>
      </c>
      <c r="C333">
        <v>71.849999999999994</v>
      </c>
      <c r="D333">
        <v>-0.9</v>
      </c>
      <c r="E333" s="3">
        <v>8951842.9499999993</v>
      </c>
      <c r="F333" s="2">
        <v>0.52013888888888882</v>
      </c>
    </row>
    <row r="334" spans="1:6" x14ac:dyDescent="0.25">
      <c r="A334" s="71" t="s">
        <v>291</v>
      </c>
      <c r="C334">
        <v>22.44</v>
      </c>
      <c r="D334">
        <v>-1.58</v>
      </c>
      <c r="E334" s="3">
        <v>14396636.42</v>
      </c>
      <c r="F334" s="2">
        <v>0.52013888888888882</v>
      </c>
    </row>
    <row r="335" spans="1:6" x14ac:dyDescent="0.25">
      <c r="A335" s="71" t="s">
        <v>292</v>
      </c>
      <c r="C335">
        <v>1.38</v>
      </c>
      <c r="D335">
        <v>-1.43</v>
      </c>
      <c r="E335" s="3">
        <v>9910745.6199999992</v>
      </c>
      <c r="F335" s="2">
        <v>0.51944444444444449</v>
      </c>
    </row>
    <row r="336" spans="1:6" x14ac:dyDescent="0.25">
      <c r="A336" s="71" t="s">
        <v>824</v>
      </c>
      <c r="C336">
        <v>0.25</v>
      </c>
      <c r="D336">
        <v>-3.85</v>
      </c>
      <c r="E336" s="3">
        <v>2446638.84</v>
      </c>
      <c r="F336" s="2">
        <v>0.52013888888888882</v>
      </c>
    </row>
    <row r="337" spans="1:6" x14ac:dyDescent="0.25">
      <c r="A337" s="71" t="s">
        <v>586</v>
      </c>
      <c r="C337">
        <v>16.239999999999998</v>
      </c>
      <c r="D337">
        <v>-1.75</v>
      </c>
      <c r="E337" s="3">
        <v>30463872.719999999</v>
      </c>
      <c r="F337" s="2">
        <v>0.52013888888888882</v>
      </c>
    </row>
    <row r="338" spans="1:6" x14ac:dyDescent="0.25">
      <c r="A338" s="71" t="s">
        <v>293</v>
      </c>
      <c r="C338" s="3">
        <v>78.099999999999994</v>
      </c>
      <c r="D338">
        <v>-1.01</v>
      </c>
      <c r="E338" s="3">
        <v>554798188.14999998</v>
      </c>
      <c r="F338" s="2">
        <v>0.52013888888888882</v>
      </c>
    </row>
    <row r="339" spans="1:6" x14ac:dyDescent="0.25">
      <c r="A339" s="71" t="s">
        <v>294</v>
      </c>
      <c r="C339">
        <v>197</v>
      </c>
      <c r="D339">
        <v>-0.05</v>
      </c>
      <c r="E339" s="3">
        <v>88650</v>
      </c>
      <c r="F339" s="2">
        <v>0.41319444444444442</v>
      </c>
    </row>
    <row r="340" spans="1:6" x14ac:dyDescent="0.25">
      <c r="A340" s="71" t="s">
        <v>295</v>
      </c>
      <c r="C340">
        <v>0.77</v>
      </c>
      <c r="D340">
        <v>-4.9400000000000004</v>
      </c>
      <c r="E340" s="3">
        <v>122380.72</v>
      </c>
      <c r="F340" s="2">
        <v>0.41319444444444442</v>
      </c>
    </row>
    <row r="341" spans="1:6" x14ac:dyDescent="0.25">
      <c r="A341" s="71" t="s">
        <v>296</v>
      </c>
      <c r="C341">
        <v>11.45</v>
      </c>
      <c r="D341">
        <v>-3.86</v>
      </c>
      <c r="E341" s="3">
        <v>48495431.140000001</v>
      </c>
      <c r="F341" s="2">
        <v>0.52013888888888882</v>
      </c>
    </row>
    <row r="342" spans="1:6" x14ac:dyDescent="0.25">
      <c r="A342" s="71" t="s">
        <v>297</v>
      </c>
      <c r="C342" s="3">
        <v>24.94</v>
      </c>
      <c r="D342">
        <v>-1.89</v>
      </c>
      <c r="E342" s="3">
        <v>3863213.44</v>
      </c>
      <c r="F342" s="2">
        <v>0.51874999999999993</v>
      </c>
    </row>
    <row r="343" spans="1:6" x14ac:dyDescent="0.25">
      <c r="A343" s="71" t="s">
        <v>298</v>
      </c>
      <c r="C343" s="3">
        <v>49.2</v>
      </c>
      <c r="D343">
        <v>0.41</v>
      </c>
      <c r="E343" s="3">
        <v>25346583.210000001</v>
      </c>
      <c r="F343" s="2">
        <v>0.52013888888888882</v>
      </c>
    </row>
    <row r="344" spans="1:6" x14ac:dyDescent="0.25">
      <c r="A344" s="71" t="s">
        <v>299</v>
      </c>
      <c r="C344">
        <v>6.7</v>
      </c>
      <c r="D344">
        <v>-2.9</v>
      </c>
      <c r="E344" s="3">
        <v>5062604.88</v>
      </c>
      <c r="F344" s="2">
        <v>0.52013888888888882</v>
      </c>
    </row>
    <row r="345" spans="1:6" x14ac:dyDescent="0.25">
      <c r="A345" s="71" t="s">
        <v>300</v>
      </c>
      <c r="C345">
        <v>2.42</v>
      </c>
      <c r="D345">
        <v>-0.41</v>
      </c>
      <c r="E345" s="3">
        <v>22597625.760000002</v>
      </c>
      <c r="F345" s="2">
        <v>0.52013888888888882</v>
      </c>
    </row>
    <row r="346" spans="1:6" x14ac:dyDescent="0.25">
      <c r="A346" s="71" t="s">
        <v>301</v>
      </c>
      <c r="C346" s="3">
        <v>58</v>
      </c>
      <c r="D346">
        <v>-3.81</v>
      </c>
      <c r="E346" s="3">
        <v>39202388.149999999</v>
      </c>
      <c r="F346" s="2">
        <v>0.52013888888888882</v>
      </c>
    </row>
    <row r="347" spans="1:6" x14ac:dyDescent="0.25">
      <c r="A347" s="71" t="s">
        <v>302</v>
      </c>
      <c r="C347" s="3">
        <v>16.989999999999998</v>
      </c>
      <c r="D347">
        <v>-1.85</v>
      </c>
      <c r="E347" s="3">
        <v>6072333.5899999999</v>
      </c>
      <c r="F347" s="2">
        <v>0.52013888888888882</v>
      </c>
    </row>
    <row r="348" spans="1:6" x14ac:dyDescent="0.25">
      <c r="A348" s="71" t="s">
        <v>303</v>
      </c>
      <c r="C348" s="3">
        <v>11.5</v>
      </c>
      <c r="D348">
        <v>0</v>
      </c>
      <c r="E348" s="3">
        <v>55119.5</v>
      </c>
      <c r="F348" s="2">
        <v>0.41319444444444442</v>
      </c>
    </row>
    <row r="349" spans="1:6" x14ac:dyDescent="0.25">
      <c r="A349" s="71" t="s">
        <v>591</v>
      </c>
      <c r="C349" s="3">
        <v>19.059999999999999</v>
      </c>
      <c r="D349">
        <v>-0.37</v>
      </c>
      <c r="E349" s="3">
        <v>9027753.6899999995</v>
      </c>
      <c r="F349" s="2">
        <v>0.52013888888888882</v>
      </c>
    </row>
    <row r="350" spans="1:6" x14ac:dyDescent="0.25">
      <c r="A350" s="71" t="s">
        <v>304</v>
      </c>
      <c r="C350" s="3">
        <v>3.35</v>
      </c>
      <c r="D350">
        <v>1.82</v>
      </c>
      <c r="E350" s="3">
        <v>15378196.859999999</v>
      </c>
      <c r="F350" s="2">
        <v>0.51874999999999993</v>
      </c>
    </row>
    <row r="351" spans="1:6" x14ac:dyDescent="0.25">
      <c r="A351" s="71" t="s">
        <v>562</v>
      </c>
      <c r="C351" s="3">
        <v>98.9</v>
      </c>
      <c r="D351">
        <v>-2.85</v>
      </c>
      <c r="E351" s="3">
        <v>42700172.100000001</v>
      </c>
      <c r="F351" s="2">
        <v>0.52013888888888882</v>
      </c>
    </row>
    <row r="352" spans="1:6" x14ac:dyDescent="0.25">
      <c r="A352" s="71" t="s">
        <v>305</v>
      </c>
      <c r="C352" s="3">
        <v>15.99</v>
      </c>
      <c r="D352">
        <v>-1.1100000000000001</v>
      </c>
      <c r="E352" s="3">
        <v>7872710.2400000002</v>
      </c>
      <c r="F352" s="2">
        <v>0.51944444444444449</v>
      </c>
    </row>
    <row r="353" spans="1:6" x14ac:dyDescent="0.25">
      <c r="A353" s="71" t="s">
        <v>306</v>
      </c>
      <c r="C353" s="3">
        <v>40.200000000000003</v>
      </c>
      <c r="D353">
        <v>-4.29</v>
      </c>
      <c r="E353" s="3">
        <v>36551726</v>
      </c>
      <c r="F353" s="2">
        <v>0.52013888888888882</v>
      </c>
    </row>
    <row r="354" spans="1:6" x14ac:dyDescent="0.25">
      <c r="A354" s="71" t="s">
        <v>307</v>
      </c>
      <c r="C354" s="3">
        <v>173.1</v>
      </c>
      <c r="D354">
        <v>1.82</v>
      </c>
      <c r="E354" s="3">
        <v>722820935.29999995</v>
      </c>
      <c r="F354" s="2">
        <v>0.52013888888888882</v>
      </c>
    </row>
    <row r="355" spans="1:6" x14ac:dyDescent="0.25">
      <c r="A355" s="71" t="s">
        <v>308</v>
      </c>
      <c r="C355" s="3">
        <v>3725.6</v>
      </c>
      <c r="D355">
        <v>2.31</v>
      </c>
      <c r="E355" s="3">
        <v>144680562.69999999</v>
      </c>
      <c r="F355" s="2">
        <v>0.52013888888888882</v>
      </c>
    </row>
    <row r="356" spans="1:6" x14ac:dyDescent="0.25">
      <c r="A356" s="71" t="s">
        <v>309</v>
      </c>
      <c r="C356" s="3">
        <v>71.400000000000006</v>
      </c>
      <c r="D356">
        <v>-1.38</v>
      </c>
      <c r="E356" s="3">
        <v>40803714.600000001</v>
      </c>
      <c r="F356" s="2">
        <v>0.52013888888888882</v>
      </c>
    </row>
    <row r="357" spans="1:6" x14ac:dyDescent="0.25">
      <c r="A357" s="71" t="s">
        <v>310</v>
      </c>
      <c r="C357" s="3">
        <v>41.5</v>
      </c>
      <c r="D357">
        <v>5.98</v>
      </c>
      <c r="E357" s="3">
        <v>665885171.10000002</v>
      </c>
      <c r="F357" s="2">
        <v>0.52013888888888882</v>
      </c>
    </row>
    <row r="358" spans="1:6" x14ac:dyDescent="0.25">
      <c r="A358" s="71" t="s">
        <v>311</v>
      </c>
      <c r="C358">
        <v>22.22</v>
      </c>
      <c r="D358">
        <v>8.07</v>
      </c>
      <c r="E358" s="3">
        <v>2425633874.1599998</v>
      </c>
      <c r="F358" s="2">
        <v>0.52013888888888882</v>
      </c>
    </row>
    <row r="359" spans="1:6" x14ac:dyDescent="0.25">
      <c r="A359" s="71" t="s">
        <v>312</v>
      </c>
      <c r="C359">
        <v>18.28</v>
      </c>
      <c r="D359">
        <v>-2.19</v>
      </c>
      <c r="E359" s="3">
        <v>26939449.489999998</v>
      </c>
      <c r="F359" s="2">
        <v>0.52013888888888882</v>
      </c>
    </row>
    <row r="360" spans="1:6" x14ac:dyDescent="0.25">
      <c r="A360" s="71" t="s">
        <v>313</v>
      </c>
      <c r="C360">
        <v>17.04</v>
      </c>
      <c r="D360">
        <v>-2.1800000000000002</v>
      </c>
      <c r="E360" s="3">
        <v>15070762.02</v>
      </c>
      <c r="F360" s="2">
        <v>0.52013888888888882</v>
      </c>
    </row>
    <row r="361" spans="1:6" x14ac:dyDescent="0.25">
      <c r="A361" s="71" t="s">
        <v>314</v>
      </c>
      <c r="C361">
        <v>19.22</v>
      </c>
      <c r="D361">
        <v>-1.18</v>
      </c>
      <c r="E361" s="3">
        <v>503320224.48000002</v>
      </c>
      <c r="F361" s="2">
        <v>0.52013888888888882</v>
      </c>
    </row>
    <row r="362" spans="1:6" x14ac:dyDescent="0.25">
      <c r="A362" s="71" t="s">
        <v>315</v>
      </c>
      <c r="C362">
        <v>11.94</v>
      </c>
      <c r="D362">
        <v>-6.94</v>
      </c>
      <c r="E362" s="3">
        <v>20108498.02</v>
      </c>
      <c r="F362" s="2">
        <v>0.52013888888888882</v>
      </c>
    </row>
    <row r="363" spans="1:6" x14ac:dyDescent="0.25">
      <c r="A363" s="71" t="s">
        <v>657</v>
      </c>
      <c r="C363">
        <v>67.5</v>
      </c>
      <c r="D363">
        <v>-2.46</v>
      </c>
      <c r="E363" s="3">
        <v>6285187.0999999996</v>
      </c>
      <c r="F363" s="2">
        <v>0.52013888888888882</v>
      </c>
    </row>
    <row r="364" spans="1:6" x14ac:dyDescent="0.25">
      <c r="A364" s="71" t="s">
        <v>602</v>
      </c>
      <c r="C364">
        <v>7.22</v>
      </c>
      <c r="D364">
        <v>-2.04</v>
      </c>
      <c r="E364" s="3">
        <v>10091689.08</v>
      </c>
      <c r="F364" s="2">
        <v>0.52013888888888882</v>
      </c>
    </row>
    <row r="365" spans="1:6" x14ac:dyDescent="0.25">
      <c r="A365" s="71" t="s">
        <v>316</v>
      </c>
      <c r="C365">
        <v>10.78</v>
      </c>
      <c r="D365">
        <v>0.19</v>
      </c>
      <c r="E365" s="3">
        <v>22704202.210000001</v>
      </c>
      <c r="F365" s="2">
        <v>0.52013888888888882</v>
      </c>
    </row>
    <row r="366" spans="1:6" x14ac:dyDescent="0.25">
      <c r="A366" s="71" t="s">
        <v>317</v>
      </c>
      <c r="C366">
        <v>20.38</v>
      </c>
      <c r="D366">
        <v>-1.83</v>
      </c>
      <c r="E366" s="3">
        <v>1933396.32</v>
      </c>
      <c r="F366" s="2">
        <v>0.52013888888888882</v>
      </c>
    </row>
    <row r="367" spans="1:6" x14ac:dyDescent="0.25">
      <c r="A367" s="71" t="s">
        <v>318</v>
      </c>
      <c r="C367">
        <v>21.5</v>
      </c>
      <c r="D367">
        <v>-2.27</v>
      </c>
      <c r="E367" s="3">
        <v>7593237.7199999997</v>
      </c>
      <c r="F367" s="2">
        <v>0.51944444444444449</v>
      </c>
    </row>
    <row r="368" spans="1:6" x14ac:dyDescent="0.25">
      <c r="A368" s="71" t="s">
        <v>319</v>
      </c>
      <c r="C368">
        <v>269.39999999999998</v>
      </c>
      <c r="D368">
        <v>1.28</v>
      </c>
      <c r="E368" s="3">
        <v>11314.8</v>
      </c>
      <c r="F368" s="2">
        <v>0.41319444444444442</v>
      </c>
    </row>
    <row r="369" spans="1:6" x14ac:dyDescent="0.25">
      <c r="A369" s="71" t="s">
        <v>320</v>
      </c>
      <c r="C369">
        <v>53.8</v>
      </c>
      <c r="D369">
        <v>0.94</v>
      </c>
      <c r="E369" s="3">
        <v>29013201.350000001</v>
      </c>
      <c r="F369" s="2">
        <v>0.52013888888888882</v>
      </c>
    </row>
    <row r="370" spans="1:6" x14ac:dyDescent="0.25">
      <c r="A370" s="71" t="s">
        <v>321</v>
      </c>
      <c r="C370">
        <v>47.28</v>
      </c>
      <c r="D370">
        <v>-2.64</v>
      </c>
      <c r="E370" s="3">
        <v>6963453.6399999997</v>
      </c>
      <c r="F370" s="2">
        <v>0.51944444444444449</v>
      </c>
    </row>
    <row r="371" spans="1:6" x14ac:dyDescent="0.25">
      <c r="A371" s="71" t="s">
        <v>645</v>
      </c>
      <c r="C371">
        <v>41.5</v>
      </c>
      <c r="D371">
        <v>2.93</v>
      </c>
      <c r="E371" s="3">
        <v>121429</v>
      </c>
      <c r="F371" s="2">
        <v>0.41319444444444442</v>
      </c>
    </row>
    <row r="372" spans="1:6" x14ac:dyDescent="0.25">
      <c r="A372" s="71" t="s">
        <v>322</v>
      </c>
      <c r="C372">
        <v>25.02</v>
      </c>
      <c r="D372">
        <v>-1.26</v>
      </c>
      <c r="E372" s="3">
        <v>12616258</v>
      </c>
      <c r="F372" s="2">
        <v>0.52013888888888882</v>
      </c>
    </row>
    <row r="373" spans="1:6" x14ac:dyDescent="0.25">
      <c r="A373" s="71" t="s">
        <v>323</v>
      </c>
      <c r="C373">
        <v>23.08</v>
      </c>
      <c r="D373">
        <v>-2.78</v>
      </c>
      <c r="E373" s="3">
        <v>52292234.079999998</v>
      </c>
      <c r="F373" s="2">
        <v>0.52013888888888882</v>
      </c>
    </row>
    <row r="374" spans="1:6" x14ac:dyDescent="0.25">
      <c r="A374" s="71" t="s">
        <v>555</v>
      </c>
      <c r="C374">
        <v>109</v>
      </c>
      <c r="D374">
        <v>-1.36</v>
      </c>
      <c r="E374" s="3">
        <v>14878717.300000001</v>
      </c>
      <c r="F374" s="2">
        <v>0.5180555555555556</v>
      </c>
    </row>
    <row r="375" spans="1:6" x14ac:dyDescent="0.25">
      <c r="A375" s="71" t="s">
        <v>324</v>
      </c>
      <c r="C375">
        <v>5.46</v>
      </c>
      <c r="D375">
        <v>-0.91</v>
      </c>
      <c r="E375" s="3">
        <v>15914010.66</v>
      </c>
      <c r="F375" s="2">
        <v>0.52013888888888882</v>
      </c>
    </row>
    <row r="376" spans="1:6" x14ac:dyDescent="0.25">
      <c r="A376" s="71" t="s">
        <v>325</v>
      </c>
      <c r="C376">
        <v>42.84</v>
      </c>
      <c r="D376">
        <v>-1.24</v>
      </c>
      <c r="E376" s="3">
        <v>1633662.44</v>
      </c>
      <c r="F376" s="2">
        <v>0.51666666666666672</v>
      </c>
    </row>
    <row r="377" spans="1:6" x14ac:dyDescent="0.25">
      <c r="A377" s="71" t="s">
        <v>326</v>
      </c>
      <c r="C377">
        <v>22.6</v>
      </c>
      <c r="D377">
        <v>-1.91</v>
      </c>
      <c r="E377" s="3">
        <v>5373131.7599999998</v>
      </c>
      <c r="F377" s="2">
        <v>0.52013888888888882</v>
      </c>
    </row>
    <row r="378" spans="1:6" x14ac:dyDescent="0.25">
      <c r="A378" s="71" t="s">
        <v>327</v>
      </c>
      <c r="C378">
        <v>62.3</v>
      </c>
      <c r="D378">
        <v>1.71</v>
      </c>
      <c r="E378" s="3">
        <v>14325126.699999999</v>
      </c>
      <c r="F378" s="2">
        <v>0.51944444444444449</v>
      </c>
    </row>
    <row r="379" spans="1:6" x14ac:dyDescent="0.25">
      <c r="A379" s="71" t="s">
        <v>328</v>
      </c>
      <c r="C379">
        <v>75.650000000000006</v>
      </c>
      <c r="D379">
        <v>-2.13</v>
      </c>
      <c r="E379" s="3">
        <v>1872452.65</v>
      </c>
      <c r="F379" s="2">
        <v>0.51874999999999993</v>
      </c>
    </row>
    <row r="380" spans="1:6" x14ac:dyDescent="0.25">
      <c r="A380" s="71" t="s">
        <v>329</v>
      </c>
      <c r="C380">
        <v>292.2</v>
      </c>
      <c r="D380">
        <v>-0.75</v>
      </c>
      <c r="E380" s="3">
        <v>2433193.7999999998</v>
      </c>
      <c r="F380" s="2">
        <v>0.51944444444444449</v>
      </c>
    </row>
    <row r="381" spans="1:6" x14ac:dyDescent="0.25">
      <c r="A381" s="71" t="s">
        <v>778</v>
      </c>
      <c r="C381">
        <v>61.95</v>
      </c>
      <c r="D381">
        <v>1.98</v>
      </c>
      <c r="E381" s="3">
        <v>96160334.049999997</v>
      </c>
      <c r="F381" s="2">
        <v>0.52013888888888882</v>
      </c>
    </row>
    <row r="382" spans="1:6" x14ac:dyDescent="0.25">
      <c r="A382" s="71" t="s">
        <v>330</v>
      </c>
      <c r="C382">
        <v>38.58</v>
      </c>
      <c r="D382">
        <v>1.53</v>
      </c>
      <c r="E382" s="3">
        <v>47751099.520000003</v>
      </c>
      <c r="F382" s="2">
        <v>0.52013888888888882</v>
      </c>
    </row>
    <row r="383" spans="1:6" x14ac:dyDescent="0.25">
      <c r="A383" s="71" t="s">
        <v>584</v>
      </c>
      <c r="C383">
        <v>18.079999999999998</v>
      </c>
      <c r="D383">
        <v>-1.36</v>
      </c>
      <c r="E383" s="3">
        <v>4768400.78</v>
      </c>
      <c r="F383" s="2">
        <v>0.52013888888888882</v>
      </c>
    </row>
    <row r="384" spans="1:6" x14ac:dyDescent="0.25">
      <c r="A384" s="71" t="s">
        <v>331</v>
      </c>
      <c r="C384">
        <v>4.25</v>
      </c>
      <c r="D384">
        <v>-2.0699999999999998</v>
      </c>
      <c r="E384" s="3">
        <v>3664975.2</v>
      </c>
      <c r="F384" s="2">
        <v>0.52013888888888882</v>
      </c>
    </row>
    <row r="385" spans="1:6" x14ac:dyDescent="0.25">
      <c r="A385" s="71" t="s">
        <v>332</v>
      </c>
      <c r="C385">
        <v>8.23</v>
      </c>
      <c r="D385">
        <v>-0.36</v>
      </c>
      <c r="E385" s="3">
        <v>7159599.7199999997</v>
      </c>
      <c r="F385" s="2">
        <v>0.52013888888888882</v>
      </c>
    </row>
    <row r="386" spans="1:6" x14ac:dyDescent="0.25">
      <c r="A386" s="71" t="s">
        <v>333</v>
      </c>
      <c r="C386">
        <v>9.5399999999999991</v>
      </c>
      <c r="D386">
        <v>-10</v>
      </c>
      <c r="E386" s="3">
        <v>3868689.42</v>
      </c>
      <c r="F386" s="2">
        <v>0.51874999999999993</v>
      </c>
    </row>
    <row r="387" spans="1:6" x14ac:dyDescent="0.25">
      <c r="A387" s="71" t="s">
        <v>334</v>
      </c>
      <c r="C387">
        <v>3.5</v>
      </c>
      <c r="D387">
        <v>-3.85</v>
      </c>
      <c r="E387" s="3">
        <v>16361484.98</v>
      </c>
      <c r="F387" s="2">
        <v>0.51944444444444449</v>
      </c>
    </row>
    <row r="388" spans="1:6" x14ac:dyDescent="0.25">
      <c r="A388" s="71" t="s">
        <v>335</v>
      </c>
      <c r="C388">
        <v>114.6</v>
      </c>
      <c r="D388">
        <v>-3.62</v>
      </c>
      <c r="E388" s="3">
        <v>38764447.399999999</v>
      </c>
      <c r="F388" s="2">
        <v>0.52013888888888882</v>
      </c>
    </row>
    <row r="389" spans="1:6" x14ac:dyDescent="0.25">
      <c r="A389" s="71" t="s">
        <v>336</v>
      </c>
      <c r="C389">
        <v>35.200000000000003</v>
      </c>
      <c r="D389">
        <v>1.5</v>
      </c>
      <c r="E389" s="3">
        <v>31728691.120000001</v>
      </c>
      <c r="F389" s="2">
        <v>0.52013888888888882</v>
      </c>
    </row>
    <row r="390" spans="1:6" x14ac:dyDescent="0.25">
      <c r="A390" s="71" t="s">
        <v>337</v>
      </c>
      <c r="C390">
        <v>5.9</v>
      </c>
      <c r="D390">
        <v>-4.07</v>
      </c>
      <c r="E390" s="3">
        <v>18686708.760000002</v>
      </c>
      <c r="F390" s="2">
        <v>0.52013888888888882</v>
      </c>
    </row>
    <row r="391" spans="1:6" x14ac:dyDescent="0.25">
      <c r="A391" s="71" t="s">
        <v>338</v>
      </c>
      <c r="C391">
        <v>4.68</v>
      </c>
      <c r="D391">
        <v>9.86</v>
      </c>
      <c r="E391" s="3">
        <v>17333250.850000001</v>
      </c>
      <c r="F391" s="2">
        <v>0.51944444444444449</v>
      </c>
    </row>
    <row r="392" spans="1:6" x14ac:dyDescent="0.25">
      <c r="A392" s="71" t="s">
        <v>339</v>
      </c>
      <c r="C392">
        <v>31.02</v>
      </c>
      <c r="D392">
        <v>3.4</v>
      </c>
      <c r="E392" s="3">
        <v>8509076.7599999998</v>
      </c>
      <c r="F392" s="2">
        <v>0.52013888888888882</v>
      </c>
    </row>
    <row r="393" spans="1:6" x14ac:dyDescent="0.25">
      <c r="A393" s="71" t="s">
        <v>340</v>
      </c>
      <c r="C393">
        <v>32.880000000000003</v>
      </c>
      <c r="D393">
        <v>-2.14</v>
      </c>
      <c r="E393" s="3">
        <v>2148452.02</v>
      </c>
      <c r="F393" s="2">
        <v>0.52013888888888882</v>
      </c>
    </row>
    <row r="394" spans="1:6" x14ac:dyDescent="0.25">
      <c r="A394" s="71" t="s">
        <v>341</v>
      </c>
      <c r="C394">
        <v>6.41</v>
      </c>
      <c r="D394">
        <v>8.2799999999999994</v>
      </c>
      <c r="E394" s="3">
        <v>39252766.719999999</v>
      </c>
      <c r="F394" s="2">
        <v>0.52013888888888882</v>
      </c>
    </row>
    <row r="395" spans="1:6" x14ac:dyDescent="0.25">
      <c r="A395" s="71" t="s">
        <v>342</v>
      </c>
      <c r="C395">
        <v>1.85</v>
      </c>
      <c r="D395">
        <v>5.1100000000000003</v>
      </c>
      <c r="E395" s="3">
        <v>48096446.030000001</v>
      </c>
      <c r="F395" s="2">
        <v>0.52013888888888882</v>
      </c>
    </row>
    <row r="396" spans="1:6" x14ac:dyDescent="0.25">
      <c r="A396" s="71" t="s">
        <v>343</v>
      </c>
      <c r="C396">
        <v>4.91</v>
      </c>
      <c r="D396">
        <v>0.41</v>
      </c>
      <c r="E396" s="3">
        <v>3812290.15</v>
      </c>
      <c r="F396" s="2">
        <v>0.52013888888888882</v>
      </c>
    </row>
    <row r="397" spans="1:6" x14ac:dyDescent="0.25">
      <c r="A397" s="71" t="s">
        <v>344</v>
      </c>
      <c r="C397">
        <v>174.6</v>
      </c>
      <c r="D397">
        <v>-1.8</v>
      </c>
      <c r="E397" s="3">
        <v>219649655.59999999</v>
      </c>
      <c r="F397" s="2">
        <v>0.52013888888888882</v>
      </c>
    </row>
    <row r="398" spans="1:6" x14ac:dyDescent="0.25">
      <c r="A398" s="71" t="s">
        <v>345</v>
      </c>
      <c r="C398">
        <v>117</v>
      </c>
      <c r="D398">
        <v>1.83</v>
      </c>
      <c r="E398" s="3">
        <v>154054337.69999999</v>
      </c>
      <c r="F398" s="2">
        <v>0.52013888888888882</v>
      </c>
    </row>
    <row r="399" spans="1:6" x14ac:dyDescent="0.25">
      <c r="A399" s="71" t="s">
        <v>346</v>
      </c>
      <c r="C399">
        <v>9.35</v>
      </c>
      <c r="D399">
        <v>0</v>
      </c>
      <c r="E399" s="3">
        <v>7996406.1699999999</v>
      </c>
      <c r="F399" s="2">
        <v>0.52013888888888882</v>
      </c>
    </row>
    <row r="400" spans="1:6" x14ac:dyDescent="0.25">
      <c r="A400" s="71" t="s">
        <v>347</v>
      </c>
      <c r="C400">
        <v>5.0599999999999996</v>
      </c>
      <c r="D400">
        <v>1.4</v>
      </c>
      <c r="E400" s="3">
        <v>304576.58</v>
      </c>
      <c r="F400" s="2">
        <v>0.41319444444444442</v>
      </c>
    </row>
    <row r="401" spans="1:6" x14ac:dyDescent="0.25">
      <c r="A401" s="71" t="s">
        <v>348</v>
      </c>
      <c r="C401">
        <v>8.3699999999999992</v>
      </c>
      <c r="D401">
        <v>0.12</v>
      </c>
      <c r="E401" s="3">
        <v>23242815.18</v>
      </c>
      <c r="F401" s="2">
        <v>0.52013888888888882</v>
      </c>
    </row>
    <row r="402" spans="1:6" x14ac:dyDescent="0.25">
      <c r="A402" s="71" t="s">
        <v>650</v>
      </c>
      <c r="C402">
        <v>15.73</v>
      </c>
      <c r="D402">
        <v>-2.84</v>
      </c>
      <c r="E402" s="3">
        <v>6460862.25</v>
      </c>
      <c r="F402" s="2">
        <v>0.52013888888888882</v>
      </c>
    </row>
    <row r="403" spans="1:6" x14ac:dyDescent="0.25">
      <c r="A403" s="71" t="s">
        <v>349</v>
      </c>
      <c r="C403">
        <v>3.88</v>
      </c>
      <c r="D403">
        <v>0.26</v>
      </c>
      <c r="E403" s="3">
        <v>33201176.600000001</v>
      </c>
      <c r="F403" s="2">
        <v>0.52013888888888882</v>
      </c>
    </row>
    <row r="404" spans="1:6" x14ac:dyDescent="0.25">
      <c r="A404" s="71" t="s">
        <v>350</v>
      </c>
      <c r="C404">
        <v>75.95</v>
      </c>
      <c r="D404">
        <v>-3.25</v>
      </c>
      <c r="E404" s="3">
        <v>10149421.800000001</v>
      </c>
      <c r="F404" s="2">
        <v>0.52013888888888882</v>
      </c>
    </row>
    <row r="405" spans="1:6" x14ac:dyDescent="0.25">
      <c r="A405" s="71" t="s">
        <v>351</v>
      </c>
      <c r="C405">
        <v>4.5</v>
      </c>
      <c r="D405">
        <v>-2.17</v>
      </c>
      <c r="E405" s="3">
        <v>7947170.04</v>
      </c>
      <c r="F405" s="2">
        <v>0.52013888888888882</v>
      </c>
    </row>
    <row r="406" spans="1:6" x14ac:dyDescent="0.25">
      <c r="A406" s="71" t="s">
        <v>352</v>
      </c>
      <c r="C406">
        <v>558.5</v>
      </c>
      <c r="D406">
        <v>-0.36</v>
      </c>
      <c r="E406" s="3">
        <v>7103658.2000000002</v>
      </c>
      <c r="F406" s="2">
        <v>0.51944444444444449</v>
      </c>
    </row>
    <row r="407" spans="1:6" x14ac:dyDescent="0.25">
      <c r="A407" s="71" t="s">
        <v>353</v>
      </c>
      <c r="C407">
        <v>5.86</v>
      </c>
      <c r="D407">
        <v>-1.35</v>
      </c>
      <c r="E407" s="3">
        <v>1162705.01</v>
      </c>
      <c r="F407" s="2">
        <v>0.52013888888888882</v>
      </c>
    </row>
    <row r="408" spans="1:6" x14ac:dyDescent="0.25">
      <c r="A408" s="71" t="s">
        <v>354</v>
      </c>
      <c r="C408">
        <v>36.92</v>
      </c>
      <c r="D408">
        <v>-0.59</v>
      </c>
      <c r="E408" s="3">
        <v>1327685.52</v>
      </c>
      <c r="F408" s="2">
        <v>0.52013888888888882</v>
      </c>
    </row>
    <row r="409" spans="1:6" x14ac:dyDescent="0.25">
      <c r="A409" s="71" t="s">
        <v>355</v>
      </c>
      <c r="C409">
        <v>3.6</v>
      </c>
      <c r="D409">
        <v>1.1200000000000001</v>
      </c>
      <c r="E409" s="3">
        <v>296678.40999999997</v>
      </c>
      <c r="F409" s="2">
        <v>0.5180555555555556</v>
      </c>
    </row>
    <row r="410" spans="1:6" x14ac:dyDescent="0.25">
      <c r="A410" s="71" t="s">
        <v>356</v>
      </c>
      <c r="C410">
        <v>8</v>
      </c>
      <c r="D410">
        <v>-0.62</v>
      </c>
      <c r="E410" s="3">
        <v>5517351.79</v>
      </c>
      <c r="F410" s="2">
        <v>0.52013888888888882</v>
      </c>
    </row>
    <row r="411" spans="1:6" x14ac:dyDescent="0.25">
      <c r="A411" s="71" t="s">
        <v>357</v>
      </c>
      <c r="C411">
        <v>143.5</v>
      </c>
      <c r="D411">
        <v>-1.58</v>
      </c>
      <c r="E411" s="3">
        <v>21378304.199999999</v>
      </c>
      <c r="F411" s="2">
        <v>0.52013888888888882</v>
      </c>
    </row>
    <row r="412" spans="1:6" x14ac:dyDescent="0.25">
      <c r="A412" s="71" t="s">
        <v>358</v>
      </c>
      <c r="C412">
        <v>27.48</v>
      </c>
      <c r="D412">
        <v>0.15</v>
      </c>
      <c r="E412" s="3">
        <v>8956992.4399999995</v>
      </c>
      <c r="F412" s="2">
        <v>0.51944444444444449</v>
      </c>
    </row>
    <row r="413" spans="1:6" x14ac:dyDescent="0.25">
      <c r="A413" s="71" t="s">
        <v>359</v>
      </c>
      <c r="C413">
        <v>16.98</v>
      </c>
      <c r="D413">
        <v>-3.41</v>
      </c>
      <c r="E413" s="3">
        <v>22294286.690000001</v>
      </c>
      <c r="F413" s="2">
        <v>0.52013888888888882</v>
      </c>
    </row>
    <row r="414" spans="1:6" x14ac:dyDescent="0.25">
      <c r="A414" s="71" t="s">
        <v>360</v>
      </c>
      <c r="C414">
        <v>34.340000000000003</v>
      </c>
      <c r="D414">
        <v>-2.44</v>
      </c>
      <c r="E414" s="3">
        <v>22347334.68</v>
      </c>
      <c r="F414" s="2">
        <v>0.52013888888888882</v>
      </c>
    </row>
    <row r="415" spans="1:6" x14ac:dyDescent="0.25">
      <c r="A415" s="71" t="s">
        <v>361</v>
      </c>
      <c r="C415">
        <v>11.88</v>
      </c>
      <c r="D415">
        <v>4.49</v>
      </c>
      <c r="E415" s="3">
        <v>63932068.75</v>
      </c>
      <c r="F415" s="2">
        <v>0.52013888888888882</v>
      </c>
    </row>
    <row r="416" spans="1:6" x14ac:dyDescent="0.25">
      <c r="A416" s="71" t="s">
        <v>362</v>
      </c>
      <c r="C416">
        <v>5.75</v>
      </c>
      <c r="D416">
        <v>-1.71</v>
      </c>
      <c r="E416" s="3">
        <v>5720729.21</v>
      </c>
      <c r="F416" s="2">
        <v>0.52013888888888882</v>
      </c>
    </row>
    <row r="417" spans="1:6" x14ac:dyDescent="0.25">
      <c r="A417" s="71" t="s">
        <v>363</v>
      </c>
      <c r="C417">
        <v>147.5</v>
      </c>
      <c r="D417">
        <v>-2.19</v>
      </c>
      <c r="E417" s="3">
        <v>19939915.600000001</v>
      </c>
      <c r="F417" s="2">
        <v>0.51944444444444449</v>
      </c>
    </row>
    <row r="418" spans="1:6" x14ac:dyDescent="0.25">
      <c r="A418" s="71" t="s">
        <v>603</v>
      </c>
      <c r="C418">
        <v>17.21</v>
      </c>
      <c r="D418">
        <v>-2.16</v>
      </c>
      <c r="E418" s="3">
        <v>3820165.43</v>
      </c>
      <c r="F418" s="2">
        <v>0.51874999999999993</v>
      </c>
    </row>
    <row r="419" spans="1:6" x14ac:dyDescent="0.25">
      <c r="A419" s="71" t="s">
        <v>364</v>
      </c>
      <c r="C419">
        <v>7.04</v>
      </c>
      <c r="D419">
        <v>-1.4</v>
      </c>
      <c r="E419" s="3">
        <v>236146348.31</v>
      </c>
      <c r="F419" s="2">
        <v>0.52013888888888882</v>
      </c>
    </row>
    <row r="420" spans="1:6" x14ac:dyDescent="0.25">
      <c r="A420" s="71" t="s">
        <v>664</v>
      </c>
      <c r="C420">
        <v>112.6</v>
      </c>
      <c r="D420">
        <v>-8.4600000000000009</v>
      </c>
      <c r="E420" s="3">
        <v>61166767.100000001</v>
      </c>
      <c r="F420" s="2">
        <v>0.52013888888888882</v>
      </c>
    </row>
    <row r="421" spans="1:6" x14ac:dyDescent="0.25">
      <c r="A421" s="71" t="s">
        <v>365</v>
      </c>
      <c r="C421">
        <v>7.08</v>
      </c>
      <c r="D421">
        <v>-0.56000000000000005</v>
      </c>
      <c r="E421" s="3">
        <v>3550231.7</v>
      </c>
      <c r="F421" s="2">
        <v>0.51944444444444449</v>
      </c>
    </row>
    <row r="422" spans="1:6" x14ac:dyDescent="0.25">
      <c r="A422" s="71" t="s">
        <v>366</v>
      </c>
      <c r="C422" s="3">
        <v>27.02</v>
      </c>
      <c r="D422">
        <v>4.7300000000000004</v>
      </c>
      <c r="E422" s="3">
        <v>86605337.780000001</v>
      </c>
      <c r="F422" s="2">
        <v>0.52013888888888882</v>
      </c>
    </row>
    <row r="423" spans="1:6" x14ac:dyDescent="0.25">
      <c r="A423" s="71" t="s">
        <v>367</v>
      </c>
      <c r="C423" s="3">
        <v>58.2</v>
      </c>
      <c r="D423">
        <v>-0.51</v>
      </c>
      <c r="E423" s="3">
        <v>25026</v>
      </c>
      <c r="F423" s="2">
        <v>0.41319444444444442</v>
      </c>
    </row>
    <row r="424" spans="1:6" x14ac:dyDescent="0.25">
      <c r="A424" s="71" t="s">
        <v>368</v>
      </c>
      <c r="C424" s="3">
        <v>46.44</v>
      </c>
      <c r="D424">
        <v>-3.05</v>
      </c>
      <c r="E424" s="3">
        <v>957995.22</v>
      </c>
      <c r="F424" s="2">
        <v>0.51874999999999993</v>
      </c>
    </row>
    <row r="425" spans="1:6" x14ac:dyDescent="0.25">
      <c r="A425" s="71" t="s">
        <v>369</v>
      </c>
      <c r="C425" s="3">
        <v>3.16</v>
      </c>
      <c r="D425">
        <v>-0.94</v>
      </c>
      <c r="E425" s="3">
        <v>4030398.21</v>
      </c>
      <c r="F425" s="2">
        <v>0.51874999999999993</v>
      </c>
    </row>
    <row r="426" spans="1:6" x14ac:dyDescent="0.25">
      <c r="A426" s="71" t="s">
        <v>370</v>
      </c>
      <c r="C426">
        <v>940.8</v>
      </c>
      <c r="D426">
        <v>0.6</v>
      </c>
      <c r="E426" s="3">
        <v>33925934.299999997</v>
      </c>
      <c r="F426" s="2">
        <v>0.51944444444444449</v>
      </c>
    </row>
    <row r="427" spans="1:6" x14ac:dyDescent="0.25">
      <c r="A427" s="71" t="s">
        <v>371</v>
      </c>
      <c r="C427" s="3">
        <v>88.8</v>
      </c>
      <c r="D427">
        <v>0.97</v>
      </c>
      <c r="E427" s="3">
        <v>28238.400000000001</v>
      </c>
      <c r="F427" s="2">
        <v>0.41319444444444442</v>
      </c>
    </row>
    <row r="428" spans="1:6" x14ac:dyDescent="0.25">
      <c r="A428" s="71" t="s">
        <v>372</v>
      </c>
      <c r="C428">
        <v>40.200000000000003</v>
      </c>
      <c r="D428">
        <v>-2.33</v>
      </c>
      <c r="E428" s="3">
        <v>657180233.39999998</v>
      </c>
      <c r="F428" s="2">
        <v>0.52013888888888882</v>
      </c>
    </row>
    <row r="429" spans="1:6" x14ac:dyDescent="0.25">
      <c r="A429" s="71" t="s">
        <v>373</v>
      </c>
      <c r="C429">
        <v>10.08</v>
      </c>
      <c r="D429">
        <v>0.7</v>
      </c>
      <c r="E429" s="3">
        <v>723272.7</v>
      </c>
      <c r="F429" s="2">
        <v>0.52013888888888882</v>
      </c>
    </row>
    <row r="430" spans="1:6" x14ac:dyDescent="0.25">
      <c r="A430" s="71" t="s">
        <v>374</v>
      </c>
      <c r="C430">
        <v>3.58</v>
      </c>
      <c r="D430">
        <v>-1.1000000000000001</v>
      </c>
      <c r="E430" s="3">
        <v>2323160.96</v>
      </c>
      <c r="F430" s="2">
        <v>0.51944444444444449</v>
      </c>
    </row>
    <row r="431" spans="1:6" x14ac:dyDescent="0.25">
      <c r="A431" s="71" t="s">
        <v>375</v>
      </c>
      <c r="C431">
        <v>38.54</v>
      </c>
      <c r="D431">
        <v>-3.36</v>
      </c>
      <c r="E431" s="3">
        <v>7073063.0800000001</v>
      </c>
      <c r="F431" s="2">
        <v>0.5180555555555556</v>
      </c>
    </row>
    <row r="432" spans="1:6" x14ac:dyDescent="0.25">
      <c r="A432" s="71" t="s">
        <v>376</v>
      </c>
      <c r="C432">
        <v>4.05</v>
      </c>
      <c r="D432">
        <v>-1.22</v>
      </c>
      <c r="E432" s="3">
        <v>8408035.2599999998</v>
      </c>
      <c r="F432" s="2">
        <v>0.51944444444444449</v>
      </c>
    </row>
    <row r="433" spans="1:6" x14ac:dyDescent="0.25">
      <c r="A433" s="71" t="s">
        <v>377</v>
      </c>
      <c r="C433">
        <v>13.29</v>
      </c>
      <c r="D433">
        <v>-1.56</v>
      </c>
      <c r="E433" s="3">
        <v>10873049.890000001</v>
      </c>
      <c r="F433" s="2">
        <v>0.52013888888888882</v>
      </c>
    </row>
    <row r="434" spans="1:6" x14ac:dyDescent="0.25">
      <c r="A434" s="71" t="s">
        <v>378</v>
      </c>
      <c r="C434">
        <v>12.02</v>
      </c>
      <c r="D434">
        <v>-3.84</v>
      </c>
      <c r="E434" s="3">
        <v>2615217.4</v>
      </c>
      <c r="F434" s="2">
        <v>0.51666666666666672</v>
      </c>
    </row>
    <row r="435" spans="1:6" x14ac:dyDescent="0.25">
      <c r="A435" s="71" t="s">
        <v>654</v>
      </c>
      <c r="C435">
        <v>18.96</v>
      </c>
      <c r="D435">
        <v>5.0999999999999996</v>
      </c>
      <c r="E435" s="3">
        <v>45436814.479999997</v>
      </c>
      <c r="F435" s="2">
        <v>0.52013888888888882</v>
      </c>
    </row>
    <row r="436" spans="1:6" x14ac:dyDescent="0.25">
      <c r="A436" s="71" t="s">
        <v>379</v>
      </c>
      <c r="C436">
        <v>23.98</v>
      </c>
      <c r="D436">
        <v>-0.57999999999999996</v>
      </c>
      <c r="E436" s="3">
        <v>753081.64</v>
      </c>
      <c r="F436" s="2">
        <v>0.51874999999999993</v>
      </c>
    </row>
    <row r="437" spans="1:6" x14ac:dyDescent="0.25">
      <c r="A437" s="71" t="s">
        <v>380</v>
      </c>
      <c r="C437">
        <v>383.2</v>
      </c>
      <c r="D437">
        <v>1.4</v>
      </c>
      <c r="E437" s="3">
        <v>17714422.399999999</v>
      </c>
      <c r="F437" s="2">
        <v>0.51874999999999993</v>
      </c>
    </row>
    <row r="438" spans="1:6" x14ac:dyDescent="0.25">
      <c r="A438" s="71" t="s">
        <v>381</v>
      </c>
      <c r="C438">
        <v>15.95</v>
      </c>
      <c r="D438">
        <v>3.98</v>
      </c>
      <c r="E438" s="3">
        <v>27106491.960000001</v>
      </c>
      <c r="F438" s="2">
        <v>0.52013888888888882</v>
      </c>
    </row>
    <row r="439" spans="1:6" x14ac:dyDescent="0.25">
      <c r="A439" s="71" t="s">
        <v>382</v>
      </c>
      <c r="C439">
        <v>54</v>
      </c>
      <c r="D439">
        <v>-1.01</v>
      </c>
      <c r="E439" s="3">
        <v>20053326.199999999</v>
      </c>
      <c r="F439" s="2">
        <v>0.52013888888888882</v>
      </c>
    </row>
    <row r="440" spans="1:6" x14ac:dyDescent="0.25">
      <c r="A440" s="71" t="s">
        <v>383</v>
      </c>
      <c r="C440">
        <v>25.7</v>
      </c>
      <c r="D440">
        <v>-2.58</v>
      </c>
      <c r="E440" s="3">
        <v>13103957.52</v>
      </c>
      <c r="F440" s="2">
        <v>0.51944444444444449</v>
      </c>
    </row>
    <row r="441" spans="1:6" x14ac:dyDescent="0.25">
      <c r="A441" s="71" t="s">
        <v>384</v>
      </c>
      <c r="C441">
        <v>6.27</v>
      </c>
      <c r="D441">
        <v>-1.1000000000000001</v>
      </c>
      <c r="E441" s="3">
        <v>8573505.6899999995</v>
      </c>
      <c r="F441" s="2">
        <v>0.52013888888888882</v>
      </c>
    </row>
    <row r="442" spans="1:6" x14ac:dyDescent="0.25">
      <c r="A442" s="71" t="s">
        <v>385</v>
      </c>
      <c r="C442">
        <v>3.53</v>
      </c>
      <c r="D442">
        <v>0</v>
      </c>
      <c r="E442" s="3">
        <v>34753402.799999997</v>
      </c>
      <c r="F442" s="2">
        <v>0.51944444444444449</v>
      </c>
    </row>
    <row r="443" spans="1:6" x14ac:dyDescent="0.25">
      <c r="A443" s="71" t="s">
        <v>386</v>
      </c>
      <c r="C443">
        <v>6.53</v>
      </c>
      <c r="D443">
        <v>2.83</v>
      </c>
      <c r="E443" s="3">
        <v>38805102.859999999</v>
      </c>
      <c r="F443" s="2">
        <v>0.52013888888888882</v>
      </c>
    </row>
    <row r="444" spans="1:6" x14ac:dyDescent="0.25">
      <c r="A444" s="71" t="s">
        <v>387</v>
      </c>
      <c r="C444" s="3">
        <v>20.52</v>
      </c>
      <c r="D444">
        <v>-4.91</v>
      </c>
      <c r="E444" s="3">
        <v>193101283.84</v>
      </c>
      <c r="F444" s="2">
        <v>0.51597222222222217</v>
      </c>
    </row>
    <row r="445" spans="1:6" x14ac:dyDescent="0.25">
      <c r="A445" s="71" t="s">
        <v>388</v>
      </c>
      <c r="C445" s="3">
        <v>14.75</v>
      </c>
      <c r="D445">
        <v>-1.47</v>
      </c>
      <c r="E445" s="3">
        <v>447226203.19999999</v>
      </c>
      <c r="F445" s="2">
        <v>0.52013888888888882</v>
      </c>
    </row>
    <row r="446" spans="1:6" x14ac:dyDescent="0.25">
      <c r="A446" s="71" t="s">
        <v>389</v>
      </c>
      <c r="C446" s="3">
        <v>58.45</v>
      </c>
      <c r="D446">
        <v>-2.09</v>
      </c>
      <c r="E446" s="3">
        <v>3180281.75</v>
      </c>
      <c r="F446" s="2">
        <v>0.52013888888888882</v>
      </c>
    </row>
    <row r="447" spans="1:6" x14ac:dyDescent="0.25">
      <c r="A447" s="71" t="s">
        <v>390</v>
      </c>
      <c r="C447" s="3">
        <v>497.5</v>
      </c>
      <c r="D447">
        <v>-1</v>
      </c>
      <c r="E447" s="3">
        <v>365212698.80000001</v>
      </c>
      <c r="F447" s="2">
        <v>0.52013888888888882</v>
      </c>
    </row>
    <row r="448" spans="1:6" x14ac:dyDescent="0.25">
      <c r="A448" s="71" t="s">
        <v>391</v>
      </c>
      <c r="C448" s="3">
        <v>9.34</v>
      </c>
      <c r="D448">
        <v>0.21</v>
      </c>
      <c r="E448" s="3">
        <v>13393468.74</v>
      </c>
      <c r="F448" s="2">
        <v>0.51944444444444449</v>
      </c>
    </row>
    <row r="449" spans="1:6" x14ac:dyDescent="0.25">
      <c r="A449" s="71" t="s">
        <v>392</v>
      </c>
      <c r="C449" s="3">
        <v>26.52</v>
      </c>
      <c r="D449">
        <v>1.77</v>
      </c>
      <c r="E449" s="3">
        <v>36816716.159999996</v>
      </c>
      <c r="F449" s="2">
        <v>0.51944444444444449</v>
      </c>
    </row>
    <row r="450" spans="1:6" x14ac:dyDescent="0.25">
      <c r="A450" s="71" t="s">
        <v>393</v>
      </c>
      <c r="C450">
        <v>121.5</v>
      </c>
      <c r="D450">
        <v>1.17</v>
      </c>
      <c r="E450" s="3">
        <v>23027599.5</v>
      </c>
      <c r="F450" s="2">
        <v>0.52013888888888882</v>
      </c>
    </row>
    <row r="451" spans="1:6" x14ac:dyDescent="0.25">
      <c r="A451" s="71" t="s">
        <v>658</v>
      </c>
      <c r="C451" s="3">
        <v>13.45</v>
      </c>
      <c r="D451">
        <v>-2.89</v>
      </c>
      <c r="E451" s="3">
        <v>61307815.420000002</v>
      </c>
      <c r="F451" s="2">
        <v>0.52013888888888882</v>
      </c>
    </row>
    <row r="452" spans="1:6" x14ac:dyDescent="0.25">
      <c r="A452" s="71" t="s">
        <v>394</v>
      </c>
      <c r="C452" s="3">
        <v>40.380000000000003</v>
      </c>
      <c r="D452">
        <v>-0.74</v>
      </c>
      <c r="E452" s="3">
        <v>16579163.880000001</v>
      </c>
      <c r="F452" s="2">
        <v>0.51944444444444449</v>
      </c>
    </row>
    <row r="453" spans="1:6" x14ac:dyDescent="0.25">
      <c r="A453" s="71" t="s">
        <v>395</v>
      </c>
      <c r="C453" s="3">
        <v>58.85</v>
      </c>
      <c r="D453">
        <v>-1.0900000000000001</v>
      </c>
      <c r="E453" s="3">
        <v>5120511.1500000004</v>
      </c>
      <c r="F453" s="2">
        <v>0.52013888888888882</v>
      </c>
    </row>
    <row r="454" spans="1:6" x14ac:dyDescent="0.25">
      <c r="A454" s="71" t="s">
        <v>396</v>
      </c>
      <c r="C454" s="3">
        <v>11.27</v>
      </c>
      <c r="D454">
        <v>3.21</v>
      </c>
      <c r="E454" s="3">
        <v>116443651.42</v>
      </c>
      <c r="F454" s="2">
        <v>0.52013888888888882</v>
      </c>
    </row>
    <row r="455" spans="1:6" x14ac:dyDescent="0.25">
      <c r="A455" s="71" t="s">
        <v>397</v>
      </c>
      <c r="C455" s="3">
        <v>2320.1999999999998</v>
      </c>
      <c r="D455">
        <v>-3.53</v>
      </c>
      <c r="E455" s="3">
        <v>49966335.700000003</v>
      </c>
      <c r="F455" s="2">
        <v>0.51874999999999993</v>
      </c>
    </row>
    <row r="456" spans="1:6" x14ac:dyDescent="0.25">
      <c r="A456" s="71" t="s">
        <v>583</v>
      </c>
      <c r="C456" s="3">
        <v>7.01</v>
      </c>
      <c r="D456">
        <v>-2.5</v>
      </c>
      <c r="E456" s="3">
        <v>22348909.379999999</v>
      </c>
      <c r="F456" s="2">
        <v>0.52013888888888882</v>
      </c>
    </row>
    <row r="457" spans="1:6" x14ac:dyDescent="0.25">
      <c r="A457" s="71" t="s">
        <v>398</v>
      </c>
      <c r="C457" s="3">
        <v>28.28</v>
      </c>
      <c r="D457">
        <v>-2.0099999999999998</v>
      </c>
      <c r="E457" s="3">
        <v>12642334.6</v>
      </c>
      <c r="F457" s="2">
        <v>0.52013888888888882</v>
      </c>
    </row>
    <row r="458" spans="1:6" x14ac:dyDescent="0.25">
      <c r="A458" s="71" t="s">
        <v>399</v>
      </c>
      <c r="C458">
        <v>16.350000000000001</v>
      </c>
      <c r="D458">
        <v>-3.37</v>
      </c>
      <c r="E458" s="3">
        <v>9755987.3300000001</v>
      </c>
      <c r="F458" s="2">
        <v>0.52013888888888882</v>
      </c>
    </row>
    <row r="459" spans="1:6" x14ac:dyDescent="0.25">
      <c r="A459" s="71" t="s">
        <v>400</v>
      </c>
      <c r="C459">
        <v>12.88</v>
      </c>
      <c r="D459">
        <v>-0.23</v>
      </c>
      <c r="E459" s="3">
        <v>1886427.61</v>
      </c>
      <c r="F459" s="2">
        <v>0.51874999999999993</v>
      </c>
    </row>
    <row r="460" spans="1:6" x14ac:dyDescent="0.25">
      <c r="A460" s="71" t="s">
        <v>401</v>
      </c>
      <c r="C460">
        <v>32.96</v>
      </c>
      <c r="D460">
        <v>-2.25</v>
      </c>
      <c r="E460" s="3">
        <v>5099772.92</v>
      </c>
      <c r="F460" s="2">
        <v>0.52013888888888882</v>
      </c>
    </row>
    <row r="461" spans="1:6" x14ac:dyDescent="0.25">
      <c r="A461" s="71" t="s">
        <v>402</v>
      </c>
      <c r="C461">
        <v>6.22</v>
      </c>
      <c r="D461">
        <v>0.16</v>
      </c>
      <c r="E461" s="3">
        <v>22737093.710000001</v>
      </c>
      <c r="F461" s="2">
        <v>0.52013888888888882</v>
      </c>
    </row>
    <row r="462" spans="1:6" x14ac:dyDescent="0.25">
      <c r="A462" s="71" t="s">
        <v>403</v>
      </c>
      <c r="C462">
        <v>41.3</v>
      </c>
      <c r="D462">
        <v>0.24</v>
      </c>
      <c r="E462" s="3">
        <v>7805.7</v>
      </c>
      <c r="F462" s="2">
        <v>0.41319444444444442</v>
      </c>
    </row>
    <row r="463" spans="1:6" x14ac:dyDescent="0.25">
      <c r="A463" s="71" t="s">
        <v>404</v>
      </c>
      <c r="C463">
        <v>82.8</v>
      </c>
      <c r="D463">
        <v>0</v>
      </c>
      <c r="E463" s="3">
        <v>1904.4</v>
      </c>
      <c r="F463" s="2">
        <v>0.41319444444444442</v>
      </c>
    </row>
    <row r="464" spans="1:6" x14ac:dyDescent="0.25">
      <c r="A464" s="71" t="s">
        <v>405</v>
      </c>
      <c r="C464">
        <v>67</v>
      </c>
      <c r="D464">
        <v>-4.29</v>
      </c>
      <c r="E464" s="3">
        <v>31693547.5</v>
      </c>
      <c r="F464" s="2">
        <v>0.52013888888888882</v>
      </c>
    </row>
    <row r="465" spans="1:6" x14ac:dyDescent="0.25">
      <c r="A465" s="71" t="s">
        <v>406</v>
      </c>
      <c r="C465">
        <v>37.380000000000003</v>
      </c>
      <c r="D465">
        <v>-0.43</v>
      </c>
      <c r="E465" s="3">
        <v>9181546</v>
      </c>
      <c r="F465" s="2">
        <v>0.5180555555555556</v>
      </c>
    </row>
    <row r="466" spans="1:6" x14ac:dyDescent="0.25">
      <c r="A466" s="71" t="s">
        <v>407</v>
      </c>
      <c r="C466">
        <v>18.97</v>
      </c>
      <c r="D466">
        <v>-0.78</v>
      </c>
      <c r="E466" s="3">
        <v>1890559.67</v>
      </c>
      <c r="F466" s="2">
        <v>0.51736111111111105</v>
      </c>
    </row>
    <row r="467" spans="1:6" x14ac:dyDescent="0.25">
      <c r="A467" s="71" t="s">
        <v>408</v>
      </c>
      <c r="C467">
        <v>3.44</v>
      </c>
      <c r="D467">
        <v>-2.27</v>
      </c>
      <c r="E467" s="3">
        <v>1285143.78</v>
      </c>
      <c r="F467" s="2">
        <v>0.51944444444444449</v>
      </c>
    </row>
    <row r="468" spans="1:6" x14ac:dyDescent="0.25">
      <c r="A468" s="71" t="s">
        <v>409</v>
      </c>
      <c r="C468">
        <v>15.75</v>
      </c>
      <c r="D468">
        <v>-2.48</v>
      </c>
      <c r="E468" s="3">
        <v>4605203.3600000003</v>
      </c>
      <c r="F468" s="2">
        <v>0.51944444444444449</v>
      </c>
    </row>
    <row r="469" spans="1:6" x14ac:dyDescent="0.25">
      <c r="A469" s="71" t="s">
        <v>410</v>
      </c>
      <c r="C469">
        <v>63.9</v>
      </c>
      <c r="D469">
        <v>0.08</v>
      </c>
      <c r="E469" s="3">
        <v>18497044.199999999</v>
      </c>
      <c r="F469" s="2">
        <v>0.52013888888888882</v>
      </c>
    </row>
    <row r="470" spans="1:6" x14ac:dyDescent="0.25">
      <c r="A470" s="71" t="s">
        <v>411</v>
      </c>
      <c r="C470">
        <v>0</v>
      </c>
      <c r="D470">
        <v>0</v>
      </c>
      <c r="E470" s="3">
        <v>0</v>
      </c>
      <c r="F470" s="2">
        <v>0.75694444444444453</v>
      </c>
    </row>
    <row r="471" spans="1:6" x14ac:dyDescent="0.25">
      <c r="A471" s="71" t="s">
        <v>412</v>
      </c>
      <c r="C471">
        <v>8.33</v>
      </c>
      <c r="D471">
        <v>-3.14</v>
      </c>
      <c r="E471" s="3">
        <v>9108579.9399999995</v>
      </c>
      <c r="F471" s="2">
        <v>0.52013888888888882</v>
      </c>
    </row>
    <row r="472" spans="1:6" x14ac:dyDescent="0.25">
      <c r="A472" s="71" t="s">
        <v>588</v>
      </c>
      <c r="C472">
        <v>23.42</v>
      </c>
      <c r="D472">
        <v>3.26</v>
      </c>
      <c r="E472" s="3">
        <v>16208021.52</v>
      </c>
      <c r="F472" s="2">
        <v>0.51944444444444449</v>
      </c>
    </row>
    <row r="473" spans="1:6" x14ac:dyDescent="0.25">
      <c r="A473" s="71" t="s">
        <v>413</v>
      </c>
      <c r="C473">
        <v>11.7</v>
      </c>
      <c r="D473">
        <v>-2.42</v>
      </c>
      <c r="E473" s="3">
        <v>15259167.449999999</v>
      </c>
      <c r="F473" s="2">
        <v>0.52013888888888882</v>
      </c>
    </row>
    <row r="474" spans="1:6" x14ac:dyDescent="0.25">
      <c r="A474" s="71" t="s">
        <v>414</v>
      </c>
      <c r="C474">
        <v>24.8</v>
      </c>
      <c r="D474">
        <v>-4.17</v>
      </c>
      <c r="E474" s="3">
        <v>5364556.82</v>
      </c>
      <c r="F474" s="2">
        <v>0.51944444444444449</v>
      </c>
    </row>
    <row r="475" spans="1:6" x14ac:dyDescent="0.25">
      <c r="A475" s="71" t="s">
        <v>415</v>
      </c>
      <c r="C475">
        <v>13.79</v>
      </c>
      <c r="D475">
        <v>1.1000000000000001</v>
      </c>
      <c r="E475" s="3">
        <v>3807284.43</v>
      </c>
      <c r="F475" s="2">
        <v>0.52013888888888882</v>
      </c>
    </row>
    <row r="476" spans="1:6" x14ac:dyDescent="0.25">
      <c r="A476" s="71" t="s">
        <v>416</v>
      </c>
      <c r="C476">
        <v>41.22</v>
      </c>
      <c r="D476">
        <v>-2.1800000000000002</v>
      </c>
      <c r="E476" s="3">
        <v>419050627.06</v>
      </c>
      <c r="F476" s="2">
        <v>0.52013888888888882</v>
      </c>
    </row>
    <row r="477" spans="1:6" x14ac:dyDescent="0.25">
      <c r="A477" s="71" t="s">
        <v>417</v>
      </c>
      <c r="C477">
        <v>20.78</v>
      </c>
      <c r="D477">
        <v>-1.05</v>
      </c>
      <c r="E477" s="3">
        <v>11224862.039999999</v>
      </c>
      <c r="F477" s="2">
        <v>0.51874999999999993</v>
      </c>
    </row>
    <row r="478" spans="1:6" x14ac:dyDescent="0.25">
      <c r="A478" s="71" t="s">
        <v>418</v>
      </c>
      <c r="C478">
        <v>13.92</v>
      </c>
      <c r="D478">
        <v>3.03</v>
      </c>
      <c r="E478" s="3">
        <v>4610016.78</v>
      </c>
      <c r="F478" s="2">
        <v>0.52013888888888882</v>
      </c>
    </row>
    <row r="479" spans="1:6" x14ac:dyDescent="0.25">
      <c r="A479" s="71" t="s">
        <v>563</v>
      </c>
      <c r="C479">
        <v>16.28</v>
      </c>
      <c r="D479">
        <v>-1.63</v>
      </c>
      <c r="E479" s="3">
        <v>1748743.1</v>
      </c>
      <c r="F479" s="2">
        <v>0.51874999999999993</v>
      </c>
    </row>
    <row r="480" spans="1:6" x14ac:dyDescent="0.25">
      <c r="A480" s="71" t="s">
        <v>419</v>
      </c>
      <c r="C480">
        <v>26.24</v>
      </c>
      <c r="D480">
        <v>-0.15</v>
      </c>
      <c r="E480" s="3">
        <v>9393879.9399999995</v>
      </c>
      <c r="F480" s="2">
        <v>0.52013888888888882</v>
      </c>
    </row>
    <row r="481" spans="1:6" x14ac:dyDescent="0.25">
      <c r="A481" s="71" t="s">
        <v>420</v>
      </c>
      <c r="C481">
        <v>35.96</v>
      </c>
      <c r="D481">
        <v>-2.76</v>
      </c>
      <c r="E481" s="3">
        <v>33440686.359999999</v>
      </c>
      <c r="F481" s="2">
        <v>0.52013888888888882</v>
      </c>
    </row>
    <row r="482" spans="1:6" x14ac:dyDescent="0.25">
      <c r="A482" s="71" t="s">
        <v>421</v>
      </c>
      <c r="C482">
        <v>108.8</v>
      </c>
      <c r="D482">
        <v>-2.6</v>
      </c>
      <c r="E482" s="3">
        <v>744399105.20000005</v>
      </c>
      <c r="F482" s="2">
        <v>0.52013888888888882</v>
      </c>
    </row>
    <row r="483" spans="1:6" x14ac:dyDescent="0.25">
      <c r="A483" s="71" t="s">
        <v>422</v>
      </c>
      <c r="C483">
        <v>29.8</v>
      </c>
      <c r="D483">
        <v>-1.72</v>
      </c>
      <c r="E483" s="3">
        <v>7551548.3399999999</v>
      </c>
      <c r="F483" s="2">
        <v>0.51944444444444449</v>
      </c>
    </row>
    <row r="484" spans="1:6" x14ac:dyDescent="0.25">
      <c r="A484" s="71" t="s">
        <v>665</v>
      </c>
      <c r="C484">
        <v>135.6</v>
      </c>
      <c r="D484">
        <v>-8.32</v>
      </c>
      <c r="E484" s="3">
        <v>445915615.30000001</v>
      </c>
      <c r="F484" s="2">
        <v>0.52013888888888882</v>
      </c>
    </row>
    <row r="485" spans="1:6" x14ac:dyDescent="0.25">
      <c r="A485" s="71" t="s">
        <v>581</v>
      </c>
      <c r="C485">
        <v>2.27</v>
      </c>
      <c r="D485">
        <v>-2.58</v>
      </c>
      <c r="E485" s="3">
        <v>10945486.91</v>
      </c>
      <c r="F485" s="2">
        <v>0.51944444444444449</v>
      </c>
    </row>
    <row r="486" spans="1:6" x14ac:dyDescent="0.25">
      <c r="A486" s="71" t="s">
        <v>423</v>
      </c>
      <c r="C486">
        <v>8.85</v>
      </c>
      <c r="D486">
        <v>-2.96</v>
      </c>
      <c r="E486" s="3">
        <v>3083013.02</v>
      </c>
      <c r="F486" s="2">
        <v>0.51944444444444449</v>
      </c>
    </row>
    <row r="487" spans="1:6" x14ac:dyDescent="0.25">
      <c r="A487" s="71" t="s">
        <v>424</v>
      </c>
      <c r="C487">
        <v>20.12</v>
      </c>
      <c r="D487">
        <v>0.3</v>
      </c>
      <c r="E487" s="3">
        <v>1888856.45</v>
      </c>
      <c r="F487" s="2">
        <v>0.52013888888888882</v>
      </c>
    </row>
    <row r="488" spans="1:6" x14ac:dyDescent="0.25">
      <c r="A488" s="71" t="s">
        <v>425</v>
      </c>
      <c r="C488">
        <v>35.520000000000003</v>
      </c>
      <c r="D488">
        <v>-1.33</v>
      </c>
      <c r="E488" s="3">
        <v>22852343.02</v>
      </c>
      <c r="F488" s="2">
        <v>0.52013888888888882</v>
      </c>
    </row>
    <row r="489" spans="1:6" x14ac:dyDescent="0.25">
      <c r="A489" s="71" t="s">
        <v>426</v>
      </c>
      <c r="C489">
        <v>6.33</v>
      </c>
      <c r="D489">
        <v>-0.94</v>
      </c>
      <c r="E489" s="3">
        <v>950141.75</v>
      </c>
      <c r="F489" s="2">
        <v>0.5180555555555556</v>
      </c>
    </row>
    <row r="490" spans="1:6" x14ac:dyDescent="0.25">
      <c r="A490" s="71" t="s">
        <v>427</v>
      </c>
      <c r="C490">
        <v>10.93</v>
      </c>
      <c r="D490">
        <v>4.8899999999999997</v>
      </c>
      <c r="E490" s="3">
        <v>31801846.940000001</v>
      </c>
      <c r="F490" s="2">
        <v>0.52013888888888882</v>
      </c>
    </row>
    <row r="491" spans="1:6" x14ac:dyDescent="0.25">
      <c r="A491" s="71" t="s">
        <v>428</v>
      </c>
      <c r="C491">
        <v>8.7799999999999994</v>
      </c>
      <c r="D491">
        <v>-1.46</v>
      </c>
      <c r="E491" s="3">
        <v>8172775.8899999997</v>
      </c>
      <c r="F491" s="2">
        <v>0.52013888888888882</v>
      </c>
    </row>
    <row r="492" spans="1:6" x14ac:dyDescent="0.25">
      <c r="A492" s="71" t="s">
        <v>429</v>
      </c>
      <c r="C492">
        <v>15.14</v>
      </c>
      <c r="D492">
        <v>-7.0000000000000007E-2</v>
      </c>
      <c r="E492" s="3">
        <v>10399116.550000001</v>
      </c>
      <c r="F492" s="2">
        <v>0.52013888888888882</v>
      </c>
    </row>
    <row r="493" spans="1:6" x14ac:dyDescent="0.25">
      <c r="A493" s="71" t="s">
        <v>430</v>
      </c>
      <c r="C493">
        <v>45.06</v>
      </c>
      <c r="D493">
        <v>-1.96</v>
      </c>
      <c r="E493" s="3">
        <v>777786243.63999999</v>
      </c>
      <c r="F493" s="2">
        <v>0.52013888888888882</v>
      </c>
    </row>
    <row r="494" spans="1:6" x14ac:dyDescent="0.25">
      <c r="A494" s="71" t="s">
        <v>431</v>
      </c>
      <c r="C494">
        <v>2.31</v>
      </c>
      <c r="D494">
        <v>-0.86</v>
      </c>
      <c r="E494" s="3">
        <v>94141044.629999995</v>
      </c>
      <c r="F494" s="2">
        <v>0.52013888888888882</v>
      </c>
    </row>
    <row r="495" spans="1:6" x14ac:dyDescent="0.25">
      <c r="A495" s="71" t="s">
        <v>432</v>
      </c>
      <c r="C495">
        <v>3.46</v>
      </c>
      <c r="D495">
        <v>0.57999999999999996</v>
      </c>
      <c r="E495" s="3">
        <v>5108312.04</v>
      </c>
      <c r="F495" s="2">
        <v>0.52013888888888882</v>
      </c>
    </row>
    <row r="496" spans="1:6" x14ac:dyDescent="0.25">
      <c r="A496" s="71" t="s">
        <v>433</v>
      </c>
      <c r="C496">
        <v>8.09</v>
      </c>
      <c r="D496">
        <v>2.8</v>
      </c>
      <c r="E496" s="3">
        <v>6041490.04</v>
      </c>
      <c r="F496" s="2">
        <v>0.51944444444444449</v>
      </c>
    </row>
    <row r="497" spans="1:6" x14ac:dyDescent="0.25">
      <c r="A497" s="71" t="s">
        <v>434</v>
      </c>
      <c r="C497">
        <v>90.6</v>
      </c>
      <c r="D497">
        <v>2.9</v>
      </c>
      <c r="E497" s="3">
        <v>528239237.5</v>
      </c>
      <c r="F497" s="2">
        <v>0.52013888888888882</v>
      </c>
    </row>
    <row r="498" spans="1:6" x14ac:dyDescent="0.25">
      <c r="A498" s="71" t="s">
        <v>435</v>
      </c>
      <c r="C498">
        <v>2.97</v>
      </c>
      <c r="D498">
        <v>-1.66</v>
      </c>
      <c r="E498" s="3">
        <v>70765647.969999999</v>
      </c>
      <c r="F498" s="2">
        <v>0.52013888888888882</v>
      </c>
    </row>
    <row r="499" spans="1:6" x14ac:dyDescent="0.25">
      <c r="A499" s="71" t="s">
        <v>653</v>
      </c>
      <c r="C499">
        <v>28.92</v>
      </c>
      <c r="D499">
        <v>-2.63</v>
      </c>
      <c r="E499" s="3">
        <v>48702233.840000004</v>
      </c>
      <c r="F499" s="2">
        <v>0.52013888888888882</v>
      </c>
    </row>
    <row r="500" spans="1:6" x14ac:dyDescent="0.25">
      <c r="A500" s="71" t="s">
        <v>436</v>
      </c>
      <c r="C500">
        <v>27.96</v>
      </c>
      <c r="D500">
        <v>0</v>
      </c>
      <c r="E500" s="3">
        <v>29441.88</v>
      </c>
      <c r="F500" s="2">
        <v>0.41319444444444442</v>
      </c>
    </row>
    <row r="501" spans="1:6" x14ac:dyDescent="0.25">
      <c r="A501" s="71" t="s">
        <v>437</v>
      </c>
      <c r="C501">
        <v>12.94</v>
      </c>
      <c r="D501">
        <v>0</v>
      </c>
      <c r="E501" s="3">
        <v>20328.740000000002</v>
      </c>
      <c r="F501" s="2">
        <v>0.41319444444444442</v>
      </c>
    </row>
    <row r="502" spans="1:6" x14ac:dyDescent="0.25">
      <c r="A502" s="71" t="s">
        <v>438</v>
      </c>
      <c r="C502">
        <v>29.7</v>
      </c>
      <c r="D502">
        <v>6.15</v>
      </c>
      <c r="E502" s="3">
        <v>62696.7</v>
      </c>
      <c r="F502" s="2">
        <v>0.41319444444444442</v>
      </c>
    </row>
    <row r="503" spans="1:6" x14ac:dyDescent="0.25">
      <c r="A503" s="71" t="s">
        <v>669</v>
      </c>
      <c r="C503">
        <v>17.690000000000001</v>
      </c>
      <c r="D503">
        <v>-4.38</v>
      </c>
      <c r="E503" s="3">
        <v>216277526.05000001</v>
      </c>
      <c r="F503" s="2">
        <v>0.52013888888888882</v>
      </c>
    </row>
    <row r="504" spans="1:6" x14ac:dyDescent="0.25">
      <c r="A504" s="71" t="s">
        <v>439</v>
      </c>
      <c r="C504">
        <v>30.04</v>
      </c>
      <c r="D504">
        <v>-1.25</v>
      </c>
      <c r="E504" s="3">
        <v>77112973.540000007</v>
      </c>
      <c r="F504" s="2">
        <v>0.52013888888888882</v>
      </c>
    </row>
    <row r="505" spans="1:6" x14ac:dyDescent="0.25">
      <c r="A505" s="71" t="s">
        <v>440</v>
      </c>
      <c r="C505">
        <v>30.26</v>
      </c>
      <c r="D505">
        <v>-2.39</v>
      </c>
      <c r="E505" s="3">
        <v>925471.6</v>
      </c>
      <c r="F505" s="2">
        <v>0.51874999999999993</v>
      </c>
    </row>
    <row r="506" spans="1:6" x14ac:dyDescent="0.25">
      <c r="A506" s="71" t="s">
        <v>441</v>
      </c>
      <c r="C506">
        <v>160.19999999999999</v>
      </c>
      <c r="D506">
        <v>-5.93</v>
      </c>
      <c r="E506" s="3">
        <v>5687829.5</v>
      </c>
      <c r="F506" s="2">
        <v>0.51250000000000007</v>
      </c>
    </row>
    <row r="507" spans="1:6" x14ac:dyDescent="0.25">
      <c r="A507" s="71" t="s">
        <v>442</v>
      </c>
      <c r="C507">
        <v>107</v>
      </c>
      <c r="D507">
        <v>4.09</v>
      </c>
      <c r="E507" s="3">
        <v>757667</v>
      </c>
      <c r="F507" s="2">
        <v>0.41319444444444442</v>
      </c>
    </row>
    <row r="508" spans="1:6" x14ac:dyDescent="0.25">
      <c r="A508" s="71" t="s">
        <v>575</v>
      </c>
      <c r="C508">
        <v>40.28</v>
      </c>
      <c r="D508">
        <v>-0.89</v>
      </c>
      <c r="E508" s="3">
        <v>2874012.68</v>
      </c>
      <c r="F508" s="2">
        <v>0.52013888888888882</v>
      </c>
    </row>
    <row r="509" spans="1:6" x14ac:dyDescent="0.25">
      <c r="A509" s="71" t="s">
        <v>558</v>
      </c>
      <c r="C509">
        <v>47.24</v>
      </c>
      <c r="D509">
        <v>0.43</v>
      </c>
      <c r="E509" s="3">
        <v>5460344.2199999997</v>
      </c>
      <c r="F509" s="2">
        <v>0.51944444444444449</v>
      </c>
    </row>
    <row r="510" spans="1:6" x14ac:dyDescent="0.25">
      <c r="A510" s="71" t="s">
        <v>443</v>
      </c>
      <c r="C510">
        <v>24.76</v>
      </c>
      <c r="D510">
        <v>-0.96</v>
      </c>
      <c r="E510" s="3">
        <v>11933036.800000001</v>
      </c>
      <c r="F510" s="2">
        <v>0.51944444444444449</v>
      </c>
    </row>
    <row r="511" spans="1:6" x14ac:dyDescent="0.25">
      <c r="A511" s="71" t="s">
        <v>444</v>
      </c>
      <c r="C511">
        <v>77.650000000000006</v>
      </c>
      <c r="D511">
        <v>-0.77</v>
      </c>
      <c r="E511" s="3">
        <v>123061731.34999999</v>
      </c>
      <c r="F511" s="2">
        <v>0.52013888888888882</v>
      </c>
    </row>
    <row r="512" spans="1:6" x14ac:dyDescent="0.25">
      <c r="A512" s="71" t="s">
        <v>445</v>
      </c>
      <c r="C512">
        <v>38.380000000000003</v>
      </c>
      <c r="D512">
        <v>5.5</v>
      </c>
      <c r="E512" s="3">
        <v>387676.38</v>
      </c>
      <c r="F512" s="2">
        <v>0.41319444444444442</v>
      </c>
    </row>
    <row r="513" spans="1:6" x14ac:dyDescent="0.25">
      <c r="A513" s="71" t="s">
        <v>446</v>
      </c>
      <c r="C513">
        <v>31.68</v>
      </c>
      <c r="D513">
        <v>-0.69</v>
      </c>
      <c r="E513" s="3">
        <v>355241377.69999999</v>
      </c>
      <c r="F513" s="2">
        <v>0.52013888888888882</v>
      </c>
    </row>
    <row r="514" spans="1:6" x14ac:dyDescent="0.25">
      <c r="A514" s="71" t="s">
        <v>447</v>
      </c>
      <c r="C514">
        <v>10.85</v>
      </c>
      <c r="D514">
        <v>-1.18</v>
      </c>
      <c r="E514" s="3">
        <v>1204746.98</v>
      </c>
      <c r="F514" s="2">
        <v>0.52013888888888882</v>
      </c>
    </row>
    <row r="515" spans="1:6" x14ac:dyDescent="0.25">
      <c r="A515" s="71" t="s">
        <v>448</v>
      </c>
      <c r="C515">
        <v>2.91</v>
      </c>
      <c r="D515">
        <v>-1.02</v>
      </c>
      <c r="E515" s="3">
        <v>5061454.63</v>
      </c>
      <c r="F515" s="2">
        <v>0.52013888888888882</v>
      </c>
    </row>
    <row r="516" spans="1:6" x14ac:dyDescent="0.25">
      <c r="A516" s="71" t="s">
        <v>661</v>
      </c>
      <c r="C516">
        <v>28.16</v>
      </c>
      <c r="D516">
        <v>-3.76</v>
      </c>
      <c r="E516" s="3">
        <v>20041991.300000001</v>
      </c>
      <c r="F516" s="2">
        <v>0.51874999999999993</v>
      </c>
    </row>
    <row r="517" spans="1:6" x14ac:dyDescent="0.25">
      <c r="A517" s="71" t="s">
        <v>449</v>
      </c>
      <c r="C517">
        <v>229.1</v>
      </c>
      <c r="D517">
        <v>0.04</v>
      </c>
      <c r="E517" s="3">
        <v>1799029.7</v>
      </c>
      <c r="F517" s="2">
        <v>0.52013888888888882</v>
      </c>
    </row>
    <row r="518" spans="1:6" x14ac:dyDescent="0.25">
      <c r="A518" s="71" t="s">
        <v>450</v>
      </c>
      <c r="C518">
        <v>21</v>
      </c>
      <c r="D518">
        <v>-0.94</v>
      </c>
      <c r="E518" s="3">
        <v>12214942.439999999</v>
      </c>
      <c r="F518" s="2">
        <v>0.52013888888888882</v>
      </c>
    </row>
    <row r="519" spans="1:6" x14ac:dyDescent="0.25">
      <c r="A519" s="71" t="s">
        <v>451</v>
      </c>
      <c r="C519">
        <v>16.510000000000002</v>
      </c>
      <c r="D519">
        <v>-0.84</v>
      </c>
      <c r="E519" s="3">
        <v>1045089.29</v>
      </c>
      <c r="F519" s="2">
        <v>0.51944444444444449</v>
      </c>
    </row>
    <row r="520" spans="1:6" x14ac:dyDescent="0.25">
      <c r="A520" s="71" t="s">
        <v>452</v>
      </c>
      <c r="C520">
        <v>127.4</v>
      </c>
      <c r="D520">
        <v>0.71</v>
      </c>
      <c r="E520" s="3">
        <v>1734521778.2</v>
      </c>
      <c r="F520" s="2">
        <v>0.52013888888888882</v>
      </c>
    </row>
    <row r="521" spans="1:6" x14ac:dyDescent="0.25">
      <c r="A521" s="71" t="s">
        <v>453</v>
      </c>
      <c r="C521">
        <v>36.06</v>
      </c>
      <c r="D521">
        <v>-3.53</v>
      </c>
      <c r="E521" s="3">
        <v>172716227.81999999</v>
      </c>
      <c r="F521" s="2">
        <v>0.52013888888888882</v>
      </c>
    </row>
    <row r="522" spans="1:6" x14ac:dyDescent="0.25">
      <c r="A522" s="71" t="s">
        <v>454</v>
      </c>
      <c r="C522">
        <v>18.170000000000002</v>
      </c>
      <c r="D522">
        <v>0.11</v>
      </c>
      <c r="E522" s="3">
        <v>45083540.670000002</v>
      </c>
      <c r="F522" s="2">
        <v>0.52013888888888882</v>
      </c>
    </row>
    <row r="523" spans="1:6" x14ac:dyDescent="0.25">
      <c r="A523" s="71" t="s">
        <v>455</v>
      </c>
      <c r="C523">
        <v>53.55</v>
      </c>
      <c r="D523">
        <v>-2.64</v>
      </c>
      <c r="E523" s="3">
        <v>6024074.25</v>
      </c>
      <c r="F523" s="2">
        <v>0.51944444444444449</v>
      </c>
    </row>
    <row r="524" spans="1:6" x14ac:dyDescent="0.25">
      <c r="A524" s="71" t="s">
        <v>456</v>
      </c>
      <c r="C524">
        <v>29.7</v>
      </c>
      <c r="D524">
        <v>1.85</v>
      </c>
      <c r="E524" s="3">
        <v>5586583.4199999999</v>
      </c>
      <c r="F524" s="2">
        <v>0.52013888888888882</v>
      </c>
    </row>
    <row r="525" spans="1:6" x14ac:dyDescent="0.25">
      <c r="A525" s="71" t="s">
        <v>457</v>
      </c>
      <c r="C525">
        <v>53.95</v>
      </c>
      <c r="D525">
        <v>3.75</v>
      </c>
      <c r="E525" s="3">
        <v>49045620.25</v>
      </c>
      <c r="F525" s="2">
        <v>0.52013888888888882</v>
      </c>
    </row>
    <row r="526" spans="1:6" x14ac:dyDescent="0.25">
      <c r="A526" s="71" t="s">
        <v>666</v>
      </c>
      <c r="C526">
        <v>19.079999999999998</v>
      </c>
      <c r="D526">
        <v>-4.9800000000000004</v>
      </c>
      <c r="E526" s="3">
        <v>16691889.01</v>
      </c>
      <c r="F526" s="2">
        <v>0.51041666666666663</v>
      </c>
    </row>
    <row r="527" spans="1:6" x14ac:dyDescent="0.25">
      <c r="A527" s="71" t="s">
        <v>458</v>
      </c>
      <c r="C527" s="3">
        <v>188.7</v>
      </c>
      <c r="D527">
        <v>2.06</v>
      </c>
      <c r="E527" s="3">
        <v>551271897.79999995</v>
      </c>
      <c r="F527" s="2">
        <v>0.52013888888888882</v>
      </c>
    </row>
    <row r="528" spans="1:6" x14ac:dyDescent="0.25">
      <c r="A528" s="71" t="s">
        <v>459</v>
      </c>
      <c r="C528" s="3">
        <v>14.7</v>
      </c>
      <c r="D528">
        <v>-5.41</v>
      </c>
      <c r="E528" s="3">
        <v>40729760.270000003</v>
      </c>
      <c r="F528" s="2">
        <v>0.52013888888888882</v>
      </c>
    </row>
    <row r="529" spans="1:6" x14ac:dyDescent="0.25">
      <c r="A529" s="71" t="s">
        <v>460</v>
      </c>
      <c r="C529" s="3">
        <v>15.47</v>
      </c>
      <c r="D529">
        <v>-4.21</v>
      </c>
      <c r="E529" s="3">
        <v>14611263.140000001</v>
      </c>
      <c r="F529" s="2">
        <v>0.52013888888888882</v>
      </c>
    </row>
    <row r="530" spans="1:6" x14ac:dyDescent="0.25">
      <c r="A530" s="71" t="s">
        <v>461</v>
      </c>
      <c r="C530" s="3">
        <v>9.8800000000000008</v>
      </c>
      <c r="D530">
        <v>-1.2</v>
      </c>
      <c r="E530" s="3">
        <v>19032636.75</v>
      </c>
      <c r="F530" s="2">
        <v>0.52013888888888882</v>
      </c>
    </row>
    <row r="531" spans="1:6" x14ac:dyDescent="0.25">
      <c r="A531" s="71" t="s">
        <v>462</v>
      </c>
      <c r="C531" s="3">
        <v>4.3499999999999996</v>
      </c>
      <c r="D531">
        <v>-0.91</v>
      </c>
      <c r="E531" s="3">
        <v>5284636.53</v>
      </c>
      <c r="F531" s="2">
        <v>0.51944444444444449</v>
      </c>
    </row>
    <row r="532" spans="1:6" x14ac:dyDescent="0.25">
      <c r="A532" s="71" t="s">
        <v>463</v>
      </c>
      <c r="C532">
        <v>4.42</v>
      </c>
      <c r="D532">
        <v>-0.23</v>
      </c>
      <c r="E532" s="3">
        <v>101897535.29000001</v>
      </c>
      <c r="F532" s="2">
        <v>0.52013888888888882</v>
      </c>
    </row>
    <row r="533" spans="1:6" x14ac:dyDescent="0.25">
      <c r="A533" s="71" t="s">
        <v>464</v>
      </c>
      <c r="C533" s="3">
        <v>3.71</v>
      </c>
      <c r="D533">
        <v>-0.27</v>
      </c>
      <c r="E533" s="3">
        <v>53920860.700000003</v>
      </c>
      <c r="F533" s="2">
        <v>0.52013888888888882</v>
      </c>
    </row>
    <row r="534" spans="1:6" x14ac:dyDescent="0.25">
      <c r="A534" s="71" t="s">
        <v>465</v>
      </c>
      <c r="C534" s="3">
        <v>17.62</v>
      </c>
      <c r="D534">
        <v>-1.51</v>
      </c>
      <c r="E534" s="3">
        <v>207261618.72</v>
      </c>
      <c r="F534" s="2">
        <v>0.52013888888888882</v>
      </c>
    </row>
    <row r="535" spans="1:6" x14ac:dyDescent="0.25">
      <c r="A535" s="71" t="s">
        <v>466</v>
      </c>
      <c r="C535" s="3">
        <v>522.70000000000005</v>
      </c>
      <c r="D535">
        <v>-3.38</v>
      </c>
      <c r="E535" s="3">
        <v>57474222.399999999</v>
      </c>
      <c r="F535" s="2">
        <v>0.51944444444444449</v>
      </c>
    </row>
    <row r="536" spans="1:6" x14ac:dyDescent="0.25">
      <c r="A536" s="71" t="s">
        <v>467</v>
      </c>
      <c r="C536" s="3">
        <v>31.34</v>
      </c>
      <c r="D536">
        <v>0.13</v>
      </c>
      <c r="E536" s="3">
        <v>35701004.659999996</v>
      </c>
      <c r="F536" s="2">
        <v>0.52013888888888882</v>
      </c>
    </row>
    <row r="537" spans="1:6" x14ac:dyDescent="0.25">
      <c r="A537" s="71" t="s">
        <v>468</v>
      </c>
      <c r="C537">
        <v>17.47</v>
      </c>
      <c r="D537">
        <v>-3.64</v>
      </c>
      <c r="E537" s="3">
        <v>87961121.269999996</v>
      </c>
      <c r="F537" s="2">
        <v>0.52013888888888882</v>
      </c>
    </row>
    <row r="538" spans="1:6" x14ac:dyDescent="0.25">
      <c r="A538" s="71" t="s">
        <v>469</v>
      </c>
      <c r="C538" s="3">
        <v>540.29999999999995</v>
      </c>
      <c r="D538">
        <v>-2.7</v>
      </c>
      <c r="E538" s="3">
        <v>1075920569.5</v>
      </c>
      <c r="F538" s="2">
        <v>0.52013888888888882</v>
      </c>
    </row>
    <row r="539" spans="1:6" x14ac:dyDescent="0.25">
      <c r="A539" s="71" t="s">
        <v>470</v>
      </c>
      <c r="C539" s="3">
        <v>25.98</v>
      </c>
      <c r="D539">
        <v>0.7</v>
      </c>
      <c r="E539" s="3">
        <v>5947400.0800000001</v>
      </c>
      <c r="F539" s="2">
        <v>0.51944444444444449</v>
      </c>
    </row>
    <row r="540" spans="1:6" x14ac:dyDescent="0.25">
      <c r="A540" s="71" t="s">
        <v>471</v>
      </c>
      <c r="C540" s="3">
        <v>233</v>
      </c>
      <c r="D540">
        <v>-1.02</v>
      </c>
      <c r="E540" s="3">
        <v>1074469.7</v>
      </c>
      <c r="F540" s="2">
        <v>0.52013888888888882</v>
      </c>
    </row>
    <row r="541" spans="1:6" x14ac:dyDescent="0.25">
      <c r="A541" s="71" t="s">
        <v>472</v>
      </c>
      <c r="C541" s="3">
        <v>9.77</v>
      </c>
      <c r="D541">
        <v>0.21</v>
      </c>
      <c r="E541" s="3">
        <v>9422410.0099999998</v>
      </c>
      <c r="F541" s="2">
        <v>0.52013888888888882</v>
      </c>
    </row>
    <row r="542" spans="1:6" x14ac:dyDescent="0.25">
      <c r="A542" s="71" t="s">
        <v>473</v>
      </c>
      <c r="C542" s="3">
        <v>58.75</v>
      </c>
      <c r="D542">
        <v>6.33</v>
      </c>
      <c r="E542" s="3">
        <v>3390900.2</v>
      </c>
      <c r="F542" s="2">
        <v>0.51944444444444449</v>
      </c>
    </row>
    <row r="543" spans="1:6" x14ac:dyDescent="0.25">
      <c r="A543" s="71" t="s">
        <v>474</v>
      </c>
      <c r="C543">
        <v>9.49</v>
      </c>
      <c r="D543">
        <v>0</v>
      </c>
      <c r="E543" s="3">
        <v>227479.39</v>
      </c>
      <c r="F543" s="2">
        <v>0.51597222222222217</v>
      </c>
    </row>
    <row r="544" spans="1:6" x14ac:dyDescent="0.25">
      <c r="A544" s="71" t="s">
        <v>475</v>
      </c>
      <c r="C544">
        <v>36.72</v>
      </c>
      <c r="D544">
        <v>-0.11</v>
      </c>
      <c r="E544" s="3">
        <v>137147291.78</v>
      </c>
      <c r="F544" s="2">
        <v>0.52013888888888882</v>
      </c>
    </row>
    <row r="545" spans="1:6" x14ac:dyDescent="0.25">
      <c r="A545" s="71" t="s">
        <v>476</v>
      </c>
      <c r="C545">
        <v>6.59</v>
      </c>
      <c r="D545">
        <v>-2.23</v>
      </c>
      <c r="E545" s="3">
        <v>12987412.689999999</v>
      </c>
      <c r="F545" s="2">
        <v>0.52013888888888882</v>
      </c>
    </row>
    <row r="546" spans="1:6" x14ac:dyDescent="0.25">
      <c r="A546" s="71" t="s">
        <v>477</v>
      </c>
      <c r="C546" s="3">
        <v>160.1</v>
      </c>
      <c r="D546">
        <v>4.57</v>
      </c>
      <c r="E546" s="3">
        <v>123531699.5</v>
      </c>
      <c r="F546" s="2">
        <v>0.52013888888888882</v>
      </c>
    </row>
    <row r="547" spans="1:6" x14ac:dyDescent="0.25">
      <c r="A547" s="71" t="s">
        <v>478</v>
      </c>
      <c r="C547" s="3">
        <v>28.66</v>
      </c>
      <c r="D547">
        <v>-4.53</v>
      </c>
      <c r="E547" s="3">
        <v>42761561.939999998</v>
      </c>
      <c r="F547" s="2">
        <v>0.52013888888888882</v>
      </c>
    </row>
    <row r="548" spans="1:6" x14ac:dyDescent="0.25">
      <c r="A548" s="71" t="s">
        <v>479</v>
      </c>
      <c r="C548" s="3">
        <v>3.77</v>
      </c>
      <c r="D548">
        <v>-3.08</v>
      </c>
      <c r="E548" s="3">
        <v>10887.76</v>
      </c>
      <c r="F548" s="2">
        <v>0.41319444444444442</v>
      </c>
    </row>
    <row r="549" spans="1:6" x14ac:dyDescent="0.25">
      <c r="A549" s="71" t="s">
        <v>480</v>
      </c>
      <c r="C549" s="3">
        <v>10.18</v>
      </c>
      <c r="D549">
        <v>2.83</v>
      </c>
      <c r="E549" s="3">
        <v>21751510.879999999</v>
      </c>
      <c r="F549" s="2">
        <v>0.52013888888888882</v>
      </c>
    </row>
    <row r="550" spans="1:6" x14ac:dyDescent="0.25">
      <c r="A550" s="71" t="s">
        <v>481</v>
      </c>
      <c r="C550" s="3">
        <v>3.61</v>
      </c>
      <c r="D550">
        <v>-2.96</v>
      </c>
      <c r="E550" s="3">
        <v>13554221.83</v>
      </c>
      <c r="F550" s="2">
        <v>0.52013888888888882</v>
      </c>
    </row>
    <row r="551" spans="1:6" x14ac:dyDescent="0.25">
      <c r="A551" s="71" t="s">
        <v>482</v>
      </c>
      <c r="C551" s="3">
        <v>192.1</v>
      </c>
      <c r="D551">
        <v>-1.49</v>
      </c>
      <c r="E551" s="3">
        <v>125249.2</v>
      </c>
      <c r="F551" s="2">
        <v>0.41319444444444442</v>
      </c>
    </row>
    <row r="552" spans="1:6" x14ac:dyDescent="0.25">
      <c r="A552" s="71" t="s">
        <v>483</v>
      </c>
      <c r="C552" s="3">
        <v>9.2799999999999994</v>
      </c>
      <c r="D552">
        <v>0.11</v>
      </c>
      <c r="E552" s="3">
        <v>211174744.18000001</v>
      </c>
      <c r="F552" s="2">
        <v>0.52013888888888882</v>
      </c>
    </row>
    <row r="553" spans="1:6" x14ac:dyDescent="0.25">
      <c r="A553" s="71" t="s">
        <v>484</v>
      </c>
      <c r="C553" s="3">
        <v>3.75</v>
      </c>
      <c r="D553">
        <v>1.9</v>
      </c>
      <c r="E553" s="3">
        <v>82358940.5</v>
      </c>
      <c r="F553" s="2">
        <v>0.52013888888888882</v>
      </c>
    </row>
    <row r="554" spans="1:6" x14ac:dyDescent="0.25">
      <c r="A554" s="71" t="s">
        <v>485</v>
      </c>
      <c r="C554" s="3">
        <v>59.2</v>
      </c>
      <c r="D554">
        <v>-1.74</v>
      </c>
      <c r="E554" s="3">
        <v>16192886.65</v>
      </c>
      <c r="F554" s="2">
        <v>0.52013888888888882</v>
      </c>
    </row>
    <row r="555" spans="1:6" x14ac:dyDescent="0.25">
      <c r="A555" s="71" t="s">
        <v>486</v>
      </c>
      <c r="C555" s="3">
        <v>7.82</v>
      </c>
      <c r="D555">
        <v>5.53</v>
      </c>
      <c r="E555" s="3">
        <v>12513488</v>
      </c>
      <c r="F555" s="2">
        <v>0.52013888888888882</v>
      </c>
    </row>
    <row r="556" spans="1:6" x14ac:dyDescent="0.25">
      <c r="A556" s="71" t="s">
        <v>487</v>
      </c>
      <c r="C556" s="3">
        <v>44.46</v>
      </c>
      <c r="D556">
        <v>-1.2</v>
      </c>
      <c r="E556" s="3">
        <v>3212013.4</v>
      </c>
      <c r="F556" s="2">
        <v>0.51944444444444449</v>
      </c>
    </row>
    <row r="557" spans="1:6" x14ac:dyDescent="0.25">
      <c r="A557" s="71" t="s">
        <v>488</v>
      </c>
      <c r="C557" s="3">
        <v>33.24</v>
      </c>
      <c r="D557">
        <v>-0.78</v>
      </c>
      <c r="E557" s="3">
        <v>9451306.2200000007</v>
      </c>
      <c r="F557" s="2">
        <v>0.52013888888888882</v>
      </c>
    </row>
    <row r="558" spans="1:6" x14ac:dyDescent="0.25">
      <c r="A558" s="71" t="s">
        <v>489</v>
      </c>
      <c r="C558">
        <v>108.9</v>
      </c>
      <c r="D558">
        <v>0.09</v>
      </c>
      <c r="E558" s="3">
        <v>7701869.7000000002</v>
      </c>
      <c r="F558" s="2">
        <v>0.51944444444444449</v>
      </c>
    </row>
    <row r="559" spans="1:6" x14ac:dyDescent="0.25">
      <c r="A559" s="71" t="s">
        <v>490</v>
      </c>
      <c r="C559">
        <v>11.71</v>
      </c>
      <c r="D559">
        <v>-0.51</v>
      </c>
      <c r="E559" s="3">
        <v>47286971.259999998</v>
      </c>
      <c r="F559" s="2">
        <v>0.52013888888888882</v>
      </c>
    </row>
    <row r="560" spans="1:6" x14ac:dyDescent="0.25">
      <c r="A560" s="71" t="s">
        <v>491</v>
      </c>
      <c r="C560" s="3">
        <v>55.1</v>
      </c>
      <c r="D560">
        <v>-1.17</v>
      </c>
      <c r="E560" s="3">
        <v>92974506.450000003</v>
      </c>
      <c r="F560" s="2">
        <v>0.52013888888888882</v>
      </c>
    </row>
    <row r="561" spans="1:6" x14ac:dyDescent="0.25">
      <c r="A561" s="71" t="s">
        <v>492</v>
      </c>
      <c r="C561" s="3">
        <v>6.97</v>
      </c>
      <c r="D561">
        <v>6.09</v>
      </c>
      <c r="E561" s="3">
        <v>16129823.189999999</v>
      </c>
      <c r="F561" s="2">
        <v>0.52013888888888882</v>
      </c>
    </row>
    <row r="562" spans="1:6" x14ac:dyDescent="0.25">
      <c r="A562" s="71" t="s">
        <v>493</v>
      </c>
      <c r="C562" s="3">
        <v>3.59</v>
      </c>
      <c r="D562">
        <v>-1.64</v>
      </c>
      <c r="E562" s="3">
        <v>26006421.690000001</v>
      </c>
      <c r="F562" s="2">
        <v>0.52013888888888882</v>
      </c>
    </row>
    <row r="563" spans="1:6" x14ac:dyDescent="0.25">
      <c r="A563" s="71" t="s">
        <v>494</v>
      </c>
      <c r="C563" s="3">
        <v>42.74</v>
      </c>
      <c r="D563">
        <v>0</v>
      </c>
      <c r="E563" s="3">
        <v>11137346.439999999</v>
      </c>
      <c r="F563" s="2">
        <v>0.52013888888888882</v>
      </c>
    </row>
    <row r="564" spans="1:6" x14ac:dyDescent="0.25">
      <c r="A564" s="71" t="s">
        <v>495</v>
      </c>
      <c r="C564" s="3">
        <v>43.48</v>
      </c>
      <c r="D564">
        <v>-1.36</v>
      </c>
      <c r="E564" s="3">
        <v>2781017.88</v>
      </c>
      <c r="F564" s="2">
        <v>0.51944444444444449</v>
      </c>
    </row>
    <row r="565" spans="1:6" x14ac:dyDescent="0.25">
      <c r="A565" s="71" t="s">
        <v>496</v>
      </c>
      <c r="C565" s="3">
        <v>38.46</v>
      </c>
      <c r="D565">
        <v>-1.1299999999999999</v>
      </c>
      <c r="E565" s="3">
        <v>34327102.020000003</v>
      </c>
      <c r="F565" s="2">
        <v>0.52013888888888882</v>
      </c>
    </row>
    <row r="566" spans="1:6" x14ac:dyDescent="0.25">
      <c r="A566" s="71" t="s">
        <v>497</v>
      </c>
      <c r="C566">
        <v>5.28</v>
      </c>
      <c r="D566">
        <v>-2.04</v>
      </c>
      <c r="E566" s="3">
        <v>4136865.43</v>
      </c>
      <c r="F566" s="2">
        <v>0.51874999999999993</v>
      </c>
    </row>
    <row r="567" spans="1:6" x14ac:dyDescent="0.25">
      <c r="A567" s="71" t="s">
        <v>498</v>
      </c>
      <c r="C567" s="3">
        <v>69000</v>
      </c>
      <c r="D567">
        <v>-4.17</v>
      </c>
      <c r="E567" s="3">
        <v>69000</v>
      </c>
      <c r="F567" s="2">
        <v>0.41319444444444442</v>
      </c>
    </row>
    <row r="568" spans="1:6" x14ac:dyDescent="0.25">
      <c r="A568" s="71" t="s">
        <v>499</v>
      </c>
      <c r="C568" s="3">
        <v>75.25</v>
      </c>
      <c r="D568">
        <v>-4.1399999999999997</v>
      </c>
      <c r="E568" s="3">
        <v>213469157.15000001</v>
      </c>
      <c r="F568" s="2">
        <v>0.52013888888888882</v>
      </c>
    </row>
    <row r="569" spans="1:6" x14ac:dyDescent="0.25">
      <c r="A569" s="71" t="s">
        <v>500</v>
      </c>
      <c r="C569" s="3">
        <v>4.5599999999999996</v>
      </c>
      <c r="D569">
        <v>3.64</v>
      </c>
      <c r="E569" s="3">
        <v>60374490.649999999</v>
      </c>
      <c r="F569" s="2">
        <v>0.52013888888888882</v>
      </c>
    </row>
    <row r="570" spans="1:6" x14ac:dyDescent="0.25">
      <c r="A570" s="71" t="s">
        <v>501</v>
      </c>
      <c r="C570">
        <v>37.479999999999997</v>
      </c>
      <c r="D570">
        <v>0.43</v>
      </c>
      <c r="E570" s="3">
        <v>955044.22</v>
      </c>
      <c r="F570" s="2">
        <v>0.51944444444444449</v>
      </c>
    </row>
    <row r="571" spans="1:6" x14ac:dyDescent="0.25">
      <c r="A571" s="71" t="s">
        <v>502</v>
      </c>
      <c r="C571">
        <v>2.08</v>
      </c>
      <c r="D571">
        <v>0.48</v>
      </c>
      <c r="E571" s="3">
        <v>72315682</v>
      </c>
      <c r="F571" s="2">
        <v>0.52013888888888882</v>
      </c>
    </row>
    <row r="572" spans="1:6" x14ac:dyDescent="0.25">
      <c r="A572" s="71" t="s">
        <v>503</v>
      </c>
      <c r="C572">
        <v>10.18</v>
      </c>
      <c r="D572">
        <v>-1.26</v>
      </c>
      <c r="E572" s="3">
        <v>826116415.5</v>
      </c>
      <c r="F572" s="2">
        <v>0.52013888888888882</v>
      </c>
    </row>
    <row r="573" spans="1:6" x14ac:dyDescent="0.25">
      <c r="A573" s="71" t="s">
        <v>504</v>
      </c>
      <c r="C573">
        <v>10.8</v>
      </c>
      <c r="D573">
        <v>3.55</v>
      </c>
      <c r="E573" s="3">
        <v>14485401.84</v>
      </c>
      <c r="F573" s="2">
        <v>0.52013888888888882</v>
      </c>
    </row>
    <row r="574" spans="1:6" x14ac:dyDescent="0.25">
      <c r="A574" s="71" t="s">
        <v>505</v>
      </c>
      <c r="C574">
        <v>28.5</v>
      </c>
      <c r="D574">
        <v>-1.99</v>
      </c>
      <c r="E574" s="3">
        <v>47652</v>
      </c>
      <c r="F574" s="2">
        <v>0.41319444444444442</v>
      </c>
    </row>
    <row r="575" spans="1:6" x14ac:dyDescent="0.25">
      <c r="A575" s="71" t="s">
        <v>506</v>
      </c>
      <c r="C575">
        <v>112.1</v>
      </c>
      <c r="D575">
        <v>8.41</v>
      </c>
      <c r="E575" s="3">
        <v>89589778.900000006</v>
      </c>
      <c r="F575" s="2">
        <v>0.52013888888888882</v>
      </c>
    </row>
    <row r="576" spans="1:6" x14ac:dyDescent="0.25">
      <c r="A576" s="71" t="s">
        <v>507</v>
      </c>
      <c r="C576">
        <v>2.79</v>
      </c>
      <c r="D576">
        <v>6.08</v>
      </c>
      <c r="E576" s="3">
        <v>145059309.41999999</v>
      </c>
      <c r="F576" s="2">
        <v>0.52013888888888882</v>
      </c>
    </row>
    <row r="577" spans="1:6" x14ac:dyDescent="0.25">
      <c r="A577" s="71" t="s">
        <v>576</v>
      </c>
      <c r="C577">
        <v>35.159999999999997</v>
      </c>
      <c r="D577">
        <v>-2.87</v>
      </c>
      <c r="E577" s="3">
        <v>30648446.300000001</v>
      </c>
      <c r="F577" s="2">
        <v>0.52013888888888882</v>
      </c>
    </row>
    <row r="578" spans="1:6" x14ac:dyDescent="0.25">
      <c r="A578" s="71" t="s">
        <v>649</v>
      </c>
      <c r="C578">
        <v>49.98</v>
      </c>
      <c r="D578">
        <v>-6.58</v>
      </c>
      <c r="E578" s="3">
        <v>81567.360000000001</v>
      </c>
      <c r="F578" s="2">
        <v>0.41319444444444442</v>
      </c>
    </row>
    <row r="579" spans="1:6" x14ac:dyDescent="0.25">
      <c r="A579" s="71" t="s">
        <v>508</v>
      </c>
      <c r="C579">
        <v>4.99</v>
      </c>
      <c r="D579">
        <v>1.42</v>
      </c>
      <c r="E579" s="3">
        <v>70285471.219999999</v>
      </c>
      <c r="F579" s="2">
        <v>0.52013888888888882</v>
      </c>
    </row>
    <row r="580" spans="1:6" x14ac:dyDescent="0.25">
      <c r="A580" s="71" t="s">
        <v>509</v>
      </c>
      <c r="C580">
        <v>4.47</v>
      </c>
      <c r="D580">
        <v>-2.61</v>
      </c>
      <c r="E580" s="3">
        <v>2639109.69</v>
      </c>
      <c r="F580" s="2">
        <v>0.51944444444444449</v>
      </c>
    </row>
    <row r="581" spans="1:6" x14ac:dyDescent="0.25">
      <c r="A581" s="71" t="s">
        <v>510</v>
      </c>
      <c r="E581" s="3"/>
      <c r="F581" s="2"/>
    </row>
    <row r="582" spans="1:6" x14ac:dyDescent="0.25">
      <c r="A582" s="71" t="s">
        <v>511</v>
      </c>
      <c r="E582" s="3"/>
      <c r="F582" s="2"/>
    </row>
    <row r="583" spans="1:6" x14ac:dyDescent="0.25">
      <c r="A583" s="71" t="s">
        <v>10</v>
      </c>
    </row>
    <row r="584" spans="1:6" x14ac:dyDescent="0.25">
      <c r="A584" s="71" t="s">
        <v>512</v>
      </c>
    </row>
    <row r="586" spans="1:6" x14ac:dyDescent="0.25">
      <c r="A586" s="71" t="s">
        <v>513</v>
      </c>
    </row>
    <row r="587" spans="1:6" x14ac:dyDescent="0.25">
      <c r="A587" s="71" t="s">
        <v>4</v>
      </c>
    </row>
    <row r="588" spans="1:6" x14ac:dyDescent="0.25">
      <c r="A588" s="71" t="s">
        <v>15</v>
      </c>
    </row>
    <row r="589" spans="1:6" x14ac:dyDescent="0.25">
      <c r="A589" s="71" t="s">
        <v>514</v>
      </c>
    </row>
    <row r="591" spans="1:6" x14ac:dyDescent="0.25">
      <c r="A591" s="71" t="s">
        <v>4</v>
      </c>
    </row>
    <row r="592" spans="1:6" x14ac:dyDescent="0.25">
      <c r="A592" s="71" t="s">
        <v>515</v>
      </c>
    </row>
    <row r="593" spans="1:1" x14ac:dyDescent="0.25">
      <c r="A593" s="71" t="s">
        <v>17</v>
      </c>
    </row>
    <row r="594" spans="1:1" x14ac:dyDescent="0.25">
      <c r="A594" s="71" t="s">
        <v>516</v>
      </c>
    </row>
    <row r="595" spans="1:1" x14ac:dyDescent="0.25">
      <c r="A595" s="71" t="s">
        <v>517</v>
      </c>
    </row>
    <row r="596" spans="1:1" x14ac:dyDescent="0.25">
      <c r="A596" s="71" t="s">
        <v>17</v>
      </c>
    </row>
    <row r="597" spans="1:1" x14ac:dyDescent="0.25">
      <c r="A597" s="71" t="s">
        <v>518</v>
      </c>
    </row>
    <row r="598" spans="1:1" x14ac:dyDescent="0.25">
      <c r="A598" s="71" t="s">
        <v>519</v>
      </c>
    </row>
    <row r="599" spans="1:1" x14ac:dyDescent="0.25">
      <c r="A599" s="71" t="s">
        <v>825</v>
      </c>
    </row>
    <row r="600" spans="1:1" x14ac:dyDescent="0.25">
      <c r="A600" s="71" t="s">
        <v>826</v>
      </c>
    </row>
    <row r="601" spans="1:1" x14ac:dyDescent="0.25">
      <c r="A601" s="71" t="s">
        <v>827</v>
      </c>
    </row>
    <row r="602" spans="1:1" x14ac:dyDescent="0.25">
      <c r="A602" s="71" t="s">
        <v>828</v>
      </c>
    </row>
    <row r="603" spans="1:1" x14ac:dyDescent="0.25">
      <c r="A603" s="71" t="s">
        <v>829</v>
      </c>
    </row>
    <row r="604" spans="1:1" x14ac:dyDescent="0.25">
      <c r="A604" s="71" t="s">
        <v>830</v>
      </c>
    </row>
    <row r="605" spans="1:1" x14ac:dyDescent="0.25">
      <c r="A605" s="71" t="s">
        <v>520</v>
      </c>
    </row>
    <row r="606" spans="1:1" x14ac:dyDescent="0.25">
      <c r="A606" s="71" t="s">
        <v>521</v>
      </c>
    </row>
    <row r="607" spans="1:1" x14ac:dyDescent="0.25">
      <c r="A607" s="71" t="s">
        <v>522</v>
      </c>
    </row>
    <row r="608" spans="1:1" x14ac:dyDescent="0.25">
      <c r="A608" s="71" t="s">
        <v>523</v>
      </c>
    </row>
    <row r="609" spans="1:1" x14ac:dyDescent="0.25">
      <c r="A609" s="71" t="s">
        <v>524</v>
      </c>
    </row>
    <row r="611" spans="1:1" x14ac:dyDescent="0.25">
      <c r="A611" s="71" t="s">
        <v>525</v>
      </c>
    </row>
    <row r="612" spans="1:1" x14ac:dyDescent="0.25">
      <c r="A612" s="71" t="s">
        <v>8</v>
      </c>
    </row>
    <row r="613" spans="1:1" x14ac:dyDescent="0.25">
      <c r="A613" s="71" t="s">
        <v>646</v>
      </c>
    </row>
    <row r="614" spans="1:1" x14ac:dyDescent="0.25">
      <c r="A614" s="71" t="s">
        <v>647</v>
      </c>
    </row>
    <row r="615" spans="1:1" x14ac:dyDescent="0.25">
      <c r="A615" s="71" t="s">
        <v>648</v>
      </c>
    </row>
    <row r="617" spans="1:1" x14ac:dyDescent="0.25">
      <c r="A617" s="71" t="s">
        <v>526</v>
      </c>
    </row>
    <row r="618" spans="1:1" x14ac:dyDescent="0.25">
      <c r="A618" s="71" t="s">
        <v>527</v>
      </c>
    </row>
    <row r="619" spans="1:1" x14ac:dyDescent="0.25">
      <c r="A619" s="71" t="s">
        <v>528</v>
      </c>
    </row>
    <row r="620" spans="1:1" x14ac:dyDescent="0.25">
      <c r="A620" s="71" t="s">
        <v>529</v>
      </c>
    </row>
    <row r="621" spans="1:1" x14ac:dyDescent="0.25">
      <c r="A621" s="71" t="s">
        <v>530</v>
      </c>
    </row>
    <row r="622" spans="1:1" x14ac:dyDescent="0.25">
      <c r="A622" s="71" t="s">
        <v>531</v>
      </c>
    </row>
    <row r="623" spans="1:1" x14ac:dyDescent="0.25">
      <c r="A623" s="71" t="s">
        <v>532</v>
      </c>
    </row>
    <row r="624" spans="1:1" x14ac:dyDescent="0.25">
      <c r="A624" s="71" t="s">
        <v>533</v>
      </c>
    </row>
    <row r="625" spans="1:1" x14ac:dyDescent="0.25">
      <c r="A625" s="71" t="s">
        <v>534</v>
      </c>
    </row>
    <row r="626" spans="1:1" x14ac:dyDescent="0.25">
      <c r="A626" s="71" t="s">
        <v>535</v>
      </c>
    </row>
    <row r="628" spans="1:1" x14ac:dyDescent="0.25">
      <c r="A628" s="71" t="s">
        <v>11</v>
      </c>
    </row>
    <row r="630" spans="1:1" x14ac:dyDescent="0.25">
      <c r="A630" s="71" t="s">
        <v>536</v>
      </c>
    </row>
    <row r="632" spans="1:1" x14ac:dyDescent="0.25">
      <c r="A632" s="71" t="s">
        <v>537</v>
      </c>
    </row>
    <row r="634" spans="1:1" x14ac:dyDescent="0.25">
      <c r="A634" s="71" t="s">
        <v>538</v>
      </c>
    </row>
    <row r="636" spans="1:1" x14ac:dyDescent="0.25">
      <c r="A636" s="71" t="s">
        <v>539</v>
      </c>
    </row>
    <row r="638" spans="1:1" x14ac:dyDescent="0.25">
      <c r="A638" s="71" t="s">
        <v>592</v>
      </c>
    </row>
    <row r="639" spans="1:1" x14ac:dyDescent="0.25">
      <c r="A639" s="71" t="s">
        <v>589</v>
      </c>
    </row>
    <row r="640" spans="1:1" x14ac:dyDescent="0.25">
      <c r="A640" s="71" t="s">
        <v>553</v>
      </c>
    </row>
    <row r="641" spans="1:1" x14ac:dyDescent="0.25">
      <c r="A641" s="71" t="s">
        <v>604</v>
      </c>
    </row>
    <row r="642" spans="1:1" x14ac:dyDescent="0.25">
      <c r="A642" s="71" t="s">
        <v>514</v>
      </c>
    </row>
    <row r="643" spans="1:1" x14ac:dyDescent="0.25">
      <c r="A643" s="71" t="s">
        <v>540</v>
      </c>
    </row>
    <row r="644" spans="1:1" x14ac:dyDescent="0.25">
      <c r="A644" s="71" t="s">
        <v>541</v>
      </c>
    </row>
    <row r="645" spans="1:1" x14ac:dyDescent="0.25">
      <c r="A645" s="71" t="s">
        <v>544</v>
      </c>
    </row>
    <row r="646" spans="1:1" x14ac:dyDescent="0.25">
      <c r="A646" s="71" t="s">
        <v>545</v>
      </c>
    </row>
    <row r="647" spans="1:1" x14ac:dyDescent="0.25">
      <c r="A647" s="71" t="s">
        <v>593</v>
      </c>
    </row>
    <row r="648" spans="1:1" x14ac:dyDescent="0.25">
      <c r="A648" s="71" t="s">
        <v>595</v>
      </c>
    </row>
    <row r="649" spans="1:1" x14ac:dyDescent="0.25">
      <c r="A649" s="71" t="s">
        <v>605</v>
      </c>
    </row>
    <row r="650" spans="1:1" x14ac:dyDescent="0.25">
      <c r="A650" s="71" t="s">
        <v>548</v>
      </c>
    </row>
    <row r="652" spans="1:1" x14ac:dyDescent="0.25">
      <c r="A652" s="71" t="s">
        <v>594</v>
      </c>
    </row>
    <row r="653" spans="1:1" x14ac:dyDescent="0.25">
      <c r="A653" s="71" t="s">
        <v>606</v>
      </c>
    </row>
    <row r="654" spans="1:1" x14ac:dyDescent="0.25">
      <c r="A654" s="71" t="s">
        <v>597</v>
      </c>
    </row>
    <row r="655" spans="1:1" x14ac:dyDescent="0.25">
      <c r="A655" s="71" t="s">
        <v>550</v>
      </c>
    </row>
    <row r="656" spans="1:1" x14ac:dyDescent="0.25">
      <c r="A656" s="71" t="s">
        <v>596</v>
      </c>
    </row>
    <row r="657" spans="1:1" x14ac:dyDescent="0.25">
      <c r="A657" s="71" t="s">
        <v>552</v>
      </c>
    </row>
    <row r="658" spans="1:1" x14ac:dyDescent="0.25">
      <c r="A658" s="71" t="s">
        <v>546</v>
      </c>
    </row>
    <row r="659" spans="1:1" x14ac:dyDescent="0.25">
      <c r="A659" s="71" t="s">
        <v>542</v>
      </c>
    </row>
    <row r="660" spans="1:1" x14ac:dyDescent="0.25">
      <c r="A660" s="71" t="s">
        <v>607</v>
      </c>
    </row>
    <row r="661" spans="1:1" x14ac:dyDescent="0.25">
      <c r="A661" s="71" t="s">
        <v>582</v>
      </c>
    </row>
    <row r="663" spans="1:1" x14ac:dyDescent="0.25">
      <c r="A663" s="71" t="s">
        <v>608</v>
      </c>
    </row>
    <row r="664" spans="1:1" x14ac:dyDescent="0.25">
      <c r="A664" s="71" t="s">
        <v>4</v>
      </c>
    </row>
    <row r="665" spans="1:1" x14ac:dyDescent="0.25">
      <c r="A665" s="71" t="s">
        <v>609</v>
      </c>
    </row>
    <row r="666" spans="1:1" x14ac:dyDescent="0.25">
      <c r="A666" s="71" t="s">
        <v>15</v>
      </c>
    </row>
    <row r="667" spans="1:1" x14ac:dyDescent="0.25">
      <c r="A667" s="71" t="s">
        <v>549</v>
      </c>
    </row>
    <row r="668" spans="1:1" x14ac:dyDescent="0.25">
      <c r="A668" s="71" t="s">
        <v>610</v>
      </c>
    </row>
    <row r="669" spans="1:1" x14ac:dyDescent="0.25">
      <c r="A669" s="71" t="s">
        <v>611</v>
      </c>
    </row>
    <row r="670" spans="1:1" x14ac:dyDescent="0.25">
      <c r="A670" s="71" t="s">
        <v>612</v>
      </c>
    </row>
    <row r="671" spans="1:1" x14ac:dyDescent="0.25">
      <c r="A671" s="71" t="s">
        <v>613</v>
      </c>
    </row>
    <row r="672" spans="1:1" x14ac:dyDescent="0.25">
      <c r="A672" s="71" t="s">
        <v>543</v>
      </c>
    </row>
    <row r="674" spans="1:1" x14ac:dyDescent="0.25">
      <c r="A674" s="71" t="s">
        <v>547</v>
      </c>
    </row>
    <row r="675" spans="1:1" x14ac:dyDescent="0.25">
      <c r="A675" s="71" t="s">
        <v>614</v>
      </c>
    </row>
    <row r="676" spans="1:1" x14ac:dyDescent="0.25">
      <c r="A676" s="71" t="s">
        <v>598</v>
      </c>
    </row>
    <row r="677" spans="1:1" x14ac:dyDescent="0.25">
      <c r="A677" s="71" t="s">
        <v>551</v>
      </c>
    </row>
    <row r="678" spans="1:1" x14ac:dyDescent="0.25">
      <c r="A678" s="71" t="s">
        <v>615</v>
      </c>
    </row>
    <row r="679" spans="1:1" x14ac:dyDescent="0.25">
      <c r="A679" s="71" t="s">
        <v>616</v>
      </c>
    </row>
    <row r="680" spans="1:1" x14ac:dyDescent="0.25">
      <c r="A680" s="71" t="s">
        <v>617</v>
      </c>
    </row>
    <row r="681" spans="1:1" x14ac:dyDescent="0.25">
      <c r="A681" s="71" t="s">
        <v>618</v>
      </c>
    </row>
    <row r="682" spans="1:1" x14ac:dyDescent="0.25">
      <c r="A682" s="71" t="s">
        <v>619</v>
      </c>
    </row>
    <row r="684" spans="1:1" x14ac:dyDescent="0.25">
      <c r="A684" s="71" t="s">
        <v>620</v>
      </c>
    </row>
    <row r="685" spans="1:1" x14ac:dyDescent="0.25">
      <c r="A685" s="71" t="s">
        <v>621</v>
      </c>
    </row>
    <row r="686" spans="1:1" x14ac:dyDescent="0.25">
      <c r="A686" s="71" t="s">
        <v>622</v>
      </c>
    </row>
    <row r="687" spans="1:1" x14ac:dyDescent="0.25">
      <c r="A687" s="71" t="s">
        <v>623</v>
      </c>
    </row>
    <row r="688" spans="1:1" x14ac:dyDescent="0.25">
      <c r="A688" s="71" t="s">
        <v>624</v>
      </c>
    </row>
    <row r="689" spans="1:1" x14ac:dyDescent="0.25">
      <c r="A689" s="71" t="s">
        <v>625</v>
      </c>
    </row>
    <row r="690" spans="1:1" x14ac:dyDescent="0.25">
      <c r="A690" s="71" t="s">
        <v>626</v>
      </c>
    </row>
    <row r="691" spans="1:1" x14ac:dyDescent="0.25">
      <c r="A691" s="71" t="s">
        <v>627</v>
      </c>
    </row>
    <row r="692" spans="1:1" x14ac:dyDescent="0.25">
      <c r="A692" s="71" t="s">
        <v>628</v>
      </c>
    </row>
    <row r="693" spans="1:1" x14ac:dyDescent="0.25">
      <c r="A693" s="71" t="s">
        <v>629</v>
      </c>
    </row>
    <row r="694" spans="1:1" x14ac:dyDescent="0.25">
      <c r="A694" s="71" t="s">
        <v>630</v>
      </c>
    </row>
    <row r="695" spans="1:1" x14ac:dyDescent="0.25">
      <c r="A695" s="71" t="s">
        <v>631</v>
      </c>
    </row>
    <row r="696" spans="1:1" x14ac:dyDescent="0.25">
      <c r="A696" s="71" t="s">
        <v>632</v>
      </c>
    </row>
    <row r="697" spans="1:1" x14ac:dyDescent="0.25">
      <c r="A697" s="71" t="s">
        <v>633</v>
      </c>
    </row>
    <row r="698" spans="1:1" x14ac:dyDescent="0.25">
      <c r="A698" s="71" t="s">
        <v>634</v>
      </c>
    </row>
    <row r="699" spans="1:1" x14ac:dyDescent="0.25">
      <c r="A699" s="71" t="s">
        <v>635</v>
      </c>
    </row>
    <row r="700" spans="1:1" x14ac:dyDescent="0.25">
      <c r="A700" s="71" t="s">
        <v>636</v>
      </c>
    </row>
    <row r="701" spans="1:1" x14ac:dyDescent="0.25">
      <c r="A701" s="71" t="s">
        <v>513</v>
      </c>
    </row>
    <row r="702" spans="1:1" x14ac:dyDescent="0.25">
      <c r="A702" s="71" t="s">
        <v>637</v>
      </c>
    </row>
    <row r="703" spans="1:1" x14ac:dyDescent="0.25">
      <c r="A703" s="71" t="s">
        <v>638</v>
      </c>
    </row>
    <row r="704" spans="1:1" x14ac:dyDescent="0.25">
      <c r="A704" s="71" t="s">
        <v>639</v>
      </c>
    </row>
    <row r="705" spans="1:1" x14ac:dyDescent="0.25">
      <c r="A705" s="71" t="s">
        <v>520</v>
      </c>
    </row>
    <row r="706" spans="1:1" x14ac:dyDescent="0.25">
      <c r="A706" s="71" t="s">
        <v>640</v>
      </c>
    </row>
    <row r="707" spans="1:1" x14ac:dyDescent="0.25">
      <c r="A707" s="71" t="s">
        <v>641</v>
      </c>
    </row>
    <row r="709" spans="1:1" x14ac:dyDescent="0.25">
      <c r="A709" s="71" t="s">
        <v>599</v>
      </c>
    </row>
    <row r="710" spans="1:1" x14ac:dyDescent="0.25">
      <c r="A710" s="71" t="s">
        <v>600</v>
      </c>
    </row>
    <row r="711" spans="1:1" x14ac:dyDescent="0.25">
      <c r="A711" s="71" t="s">
        <v>554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GRAFIK</vt:lpstr>
      <vt:lpstr>Anasayfa</vt:lpstr>
      <vt:lpstr>Hisse Senedi Bilgileri1</vt:lpstr>
      <vt:lpstr>Hisse Senedi Bilgileri</vt:lpstr>
      <vt:lpstr>Kişisel Bilgiler</vt:lpstr>
      <vt:lpstr>Altın</vt:lpstr>
      <vt:lpstr>AKSA</vt:lpstr>
      <vt:lpstr>ALKIM</vt:lpstr>
      <vt:lpstr>EREĞLİ</vt:lpstr>
      <vt:lpstr>ISDMR</vt:lpstr>
      <vt:lpstr>SASA</vt:lpstr>
      <vt:lpstr>TTRAK</vt:lpstr>
      <vt:lpstr>VESBE</vt:lpstr>
      <vt:lpstr>Hisse8</vt:lpstr>
      <vt:lpstr>Hisse9</vt:lpstr>
      <vt:lpstr>Hisse10</vt:lpstr>
      <vt:lpstr>Hisse11</vt:lpstr>
      <vt:lpstr>Hisse12</vt:lpstr>
      <vt:lpstr>Hisse13</vt:lpstr>
      <vt:lpstr>Hisse14</vt:lpstr>
      <vt:lpstr>Hisse15</vt:lpstr>
      <vt:lpstr>Hisse İsimleri</vt:lpstr>
      <vt:lpstr>Anlık Veri</vt:lpstr>
      <vt:lpstr>'Anlık Veri'!hisseler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2006-09-26T09:04:32Z</dcterms:created>
  <dcterms:modified xsi:type="dcterms:W3CDTF">2023-03-20T09:48:51Z</dcterms:modified>
</cp:coreProperties>
</file>